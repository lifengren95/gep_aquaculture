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box\400_research\430_projects\432_UMN\443_gep\gep_fisheries\intermediate\gep_fish\2026\"/>
    </mc:Choice>
  </mc:AlternateContent>
  <xr:revisionPtr revIDLastSave="0" documentId="13_ncr:1_{8DF3CCA7-9EDD-4D07-9FD8-C332C6B053E5}" xr6:coauthVersionLast="47" xr6:coauthVersionMax="47" xr10:uidLastSave="{00000000-0000-0000-0000-000000000000}"/>
  <bookViews>
    <workbookView xWindow="26867" yWindow="820" windowWidth="22766" windowHeight="9980" xr2:uid="{87552B05-5426-44EE-94C6-B2C2CB7A2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9" i="1" l="1"/>
  <c r="G79" i="1" s="1"/>
  <c r="G227" i="1"/>
  <c r="G11" i="1"/>
  <c r="G17" i="1"/>
  <c r="G6" i="1"/>
  <c r="G9" i="1"/>
  <c r="G12" i="1"/>
  <c r="G13" i="1"/>
  <c r="G10" i="1"/>
  <c r="G34" i="1"/>
  <c r="G19" i="1"/>
  <c r="G60" i="1"/>
  <c r="G157" i="1"/>
  <c r="G244" i="1"/>
  <c r="G16" i="1"/>
  <c r="G32" i="1"/>
  <c r="G15" i="1"/>
  <c r="G14" i="1"/>
  <c r="G23" i="1"/>
  <c r="G189" i="1"/>
  <c r="G35" i="1"/>
  <c r="G27" i="1"/>
  <c r="G20" i="1"/>
  <c r="G22" i="1"/>
  <c r="G26" i="1"/>
  <c r="G38" i="1"/>
  <c r="G219" i="1"/>
  <c r="G44" i="1"/>
  <c r="G45" i="1"/>
  <c r="G112" i="1"/>
  <c r="G37" i="1"/>
  <c r="G53" i="1"/>
  <c r="G52" i="1"/>
  <c r="G54" i="1"/>
  <c r="G49" i="1"/>
  <c r="G50" i="1"/>
  <c r="G39" i="1"/>
  <c r="G55" i="1"/>
  <c r="G57" i="1"/>
  <c r="G154" i="1"/>
  <c r="G40" i="1"/>
  <c r="G58" i="1"/>
  <c r="G59" i="1"/>
  <c r="G85" i="1"/>
  <c r="G80" i="1"/>
  <c r="G62" i="1"/>
  <c r="G61" i="1"/>
  <c r="G63" i="1"/>
  <c r="G5" i="1"/>
  <c r="G67" i="1"/>
  <c r="G74" i="1"/>
  <c r="G73" i="1"/>
  <c r="G71" i="1"/>
  <c r="G76" i="1"/>
  <c r="G70" i="1"/>
  <c r="G169" i="1"/>
  <c r="G81" i="1"/>
  <c r="G237" i="1"/>
  <c r="G82" i="1"/>
  <c r="G86" i="1"/>
  <c r="G87" i="1"/>
  <c r="G95" i="1"/>
  <c r="G92" i="1"/>
  <c r="G83" i="1"/>
  <c r="G181" i="1"/>
  <c r="G66" i="1"/>
  <c r="G89" i="1"/>
  <c r="G91" i="1"/>
  <c r="G90" i="1"/>
  <c r="G94" i="1"/>
  <c r="G77" i="1"/>
  <c r="G93" i="1"/>
  <c r="G96" i="1"/>
  <c r="G101" i="1"/>
  <c r="G104" i="1"/>
  <c r="G28" i="1"/>
  <c r="G108" i="1"/>
  <c r="G106" i="1"/>
  <c r="G107" i="1"/>
  <c r="G103" i="1"/>
  <c r="G109" i="1"/>
  <c r="G110" i="1"/>
  <c r="G113" i="1"/>
  <c r="G116" i="1"/>
  <c r="G114" i="1"/>
  <c r="G115" i="1"/>
  <c r="G117" i="1"/>
  <c r="G121" i="1"/>
  <c r="G36" i="1"/>
  <c r="G88" i="1"/>
  <c r="G191" i="1"/>
  <c r="G119" i="1"/>
  <c r="G120" i="1"/>
  <c r="G122" i="1"/>
  <c r="G123" i="1"/>
  <c r="G126" i="1"/>
  <c r="G127" i="1"/>
  <c r="G193" i="1"/>
  <c r="G131" i="1"/>
  <c r="G194" i="1"/>
  <c r="G147" i="1"/>
  <c r="G142" i="1"/>
  <c r="G144" i="1"/>
  <c r="G132" i="1"/>
  <c r="G135" i="1"/>
  <c r="G141" i="1"/>
  <c r="G170" i="1"/>
  <c r="G235" i="1"/>
  <c r="G136" i="1"/>
  <c r="G137" i="1"/>
  <c r="G33" i="1"/>
  <c r="G145" i="1"/>
  <c r="G143" i="1"/>
  <c r="G167" i="1"/>
  <c r="G148" i="1"/>
  <c r="G139" i="1"/>
  <c r="G146" i="1"/>
  <c r="G138" i="1"/>
  <c r="G140" i="1"/>
  <c r="G133" i="1"/>
  <c r="G134" i="1"/>
  <c r="G51" i="1"/>
  <c r="G150" i="1"/>
  <c r="G158" i="1"/>
  <c r="G166" i="1"/>
  <c r="G152" i="1"/>
  <c r="G151" i="1"/>
  <c r="G160" i="1"/>
  <c r="G149" i="1"/>
  <c r="G172" i="1"/>
  <c r="G173" i="1"/>
  <c r="G178" i="1"/>
  <c r="G176" i="1"/>
  <c r="G177" i="1"/>
  <c r="G171" i="1"/>
  <c r="G174" i="1"/>
  <c r="G179" i="1"/>
  <c r="G183" i="1"/>
  <c r="G118" i="1"/>
  <c r="G180" i="1"/>
  <c r="G175" i="1"/>
  <c r="G84" i="1"/>
  <c r="G78" i="1"/>
  <c r="G184" i="1"/>
  <c r="G185" i="1"/>
  <c r="G186" i="1"/>
  <c r="G187" i="1"/>
  <c r="G188" i="1"/>
  <c r="G199" i="1"/>
  <c r="G213" i="1"/>
  <c r="G203" i="1"/>
  <c r="G65" i="1"/>
  <c r="G197" i="1"/>
  <c r="G208" i="1"/>
  <c r="G195" i="1"/>
  <c r="G201" i="1"/>
  <c r="G212" i="1"/>
  <c r="G198" i="1"/>
  <c r="G215" i="1"/>
  <c r="G205" i="1"/>
  <c r="G207" i="1"/>
  <c r="G218" i="1"/>
  <c r="G217" i="1"/>
  <c r="G156" i="1"/>
  <c r="G202" i="1"/>
  <c r="G220" i="1"/>
  <c r="G231" i="1"/>
  <c r="G43" i="1"/>
  <c r="G223" i="1"/>
  <c r="G222" i="1"/>
  <c r="G221" i="1"/>
  <c r="G224" i="1"/>
  <c r="G230" i="1"/>
  <c r="G182" i="1"/>
  <c r="G225" i="1"/>
  <c r="G226" i="1"/>
  <c r="G234" i="1"/>
  <c r="G245" i="1"/>
  <c r="G242" i="1"/>
  <c r="G246" i="1"/>
  <c r="G196" i="1"/>
  <c r="G247" i="1"/>
  <c r="G30" i="1"/>
  <c r="G243" i="1"/>
  <c r="G206" i="1"/>
  <c r="G159" i="1"/>
  <c r="G248" i="1"/>
  <c r="G249" i="1"/>
  <c r="G250" i="1"/>
  <c r="G209" i="1"/>
  <c r="G251" i="1"/>
  <c r="G210" i="1"/>
  <c r="G155" i="1"/>
  <c r="F2" i="1"/>
  <c r="G2" i="1" s="1"/>
  <c r="F8" i="1"/>
  <c r="G8" i="1" s="1"/>
  <c r="F192" i="1"/>
  <c r="G192" i="1" s="1"/>
  <c r="F3" i="1"/>
  <c r="G3" i="1" s="1"/>
  <c r="F227" i="1"/>
  <c r="F11" i="1"/>
  <c r="F17" i="1"/>
  <c r="F6" i="1"/>
  <c r="F9" i="1"/>
  <c r="F12" i="1"/>
  <c r="F13" i="1"/>
  <c r="F10" i="1"/>
  <c r="F34" i="1"/>
  <c r="F19" i="1"/>
  <c r="F60" i="1"/>
  <c r="F157" i="1"/>
  <c r="F244" i="1"/>
  <c r="F16" i="1"/>
  <c r="F32" i="1"/>
  <c r="F15" i="1"/>
  <c r="F14" i="1"/>
  <c r="F23" i="1"/>
  <c r="F189" i="1"/>
  <c r="F35" i="1"/>
  <c r="F27" i="1"/>
  <c r="F20" i="1"/>
  <c r="F22" i="1"/>
  <c r="F26" i="1"/>
  <c r="F18" i="1"/>
  <c r="G18" i="1" s="1"/>
  <c r="F31" i="1"/>
  <c r="G31" i="1" s="1"/>
  <c r="F21" i="1"/>
  <c r="G21" i="1" s="1"/>
  <c r="F24" i="1"/>
  <c r="G24" i="1" s="1"/>
  <c r="F41" i="1"/>
  <c r="G41" i="1" s="1"/>
  <c r="F38" i="1"/>
  <c r="F219" i="1"/>
  <c r="F44" i="1"/>
  <c r="F45" i="1"/>
  <c r="F112" i="1"/>
  <c r="F37" i="1"/>
  <c r="F53" i="1"/>
  <c r="F52" i="1"/>
  <c r="F54" i="1"/>
  <c r="F49" i="1"/>
  <c r="F50" i="1"/>
  <c r="F39" i="1"/>
  <c r="F55" i="1"/>
  <c r="F57" i="1"/>
  <c r="F154" i="1"/>
  <c r="F40" i="1"/>
  <c r="F58" i="1"/>
  <c r="F59" i="1"/>
  <c r="F85" i="1"/>
  <c r="F80" i="1"/>
  <c r="F62" i="1"/>
  <c r="F61" i="1"/>
  <c r="F63" i="1"/>
  <c r="F5" i="1"/>
  <c r="F64" i="1"/>
  <c r="G64" i="1" s="1"/>
  <c r="F236" i="1"/>
  <c r="G236" i="1" s="1"/>
  <c r="F68" i="1"/>
  <c r="G68" i="1" s="1"/>
  <c r="F214" i="1"/>
  <c r="G214" i="1" s="1"/>
  <c r="F211" i="1"/>
  <c r="G211" i="1" s="1"/>
  <c r="F69" i="1"/>
  <c r="G69" i="1" s="1"/>
  <c r="F67" i="1"/>
  <c r="F74" i="1"/>
  <c r="F73" i="1"/>
  <c r="F71" i="1"/>
  <c r="F76" i="1"/>
  <c r="F70" i="1"/>
  <c r="F169" i="1"/>
  <c r="F81" i="1"/>
  <c r="F237" i="1"/>
  <c r="F82" i="1"/>
  <c r="F86" i="1"/>
  <c r="F87" i="1"/>
  <c r="F95" i="1"/>
  <c r="F92" i="1"/>
  <c r="F83" i="1"/>
  <c r="F181" i="1"/>
  <c r="F66" i="1"/>
  <c r="F89" i="1"/>
  <c r="F91" i="1"/>
  <c r="F90" i="1"/>
  <c r="F94" i="1"/>
  <c r="F77" i="1"/>
  <c r="F93" i="1"/>
  <c r="F96" i="1"/>
  <c r="F101" i="1"/>
  <c r="F100" i="1"/>
  <c r="G100" i="1" s="1"/>
  <c r="F56" i="1"/>
  <c r="G56" i="1" s="1"/>
  <c r="F97" i="1"/>
  <c r="G97" i="1" s="1"/>
  <c r="F102" i="1"/>
  <c r="G102" i="1" s="1"/>
  <c r="F105" i="1"/>
  <c r="G105" i="1" s="1"/>
  <c r="F104" i="1"/>
  <c r="F28" i="1"/>
  <c r="F108" i="1"/>
  <c r="F106" i="1"/>
  <c r="F107" i="1"/>
  <c r="F103" i="1"/>
  <c r="F109" i="1"/>
  <c r="F110" i="1"/>
  <c r="F113" i="1"/>
  <c r="F116" i="1"/>
  <c r="F114" i="1"/>
  <c r="F115" i="1"/>
  <c r="F117" i="1"/>
  <c r="F121" i="1"/>
  <c r="F36" i="1"/>
  <c r="F88" i="1"/>
  <c r="F191" i="1"/>
  <c r="F119" i="1"/>
  <c r="F120" i="1"/>
  <c r="F122" i="1"/>
  <c r="F123" i="1"/>
  <c r="F126" i="1"/>
  <c r="F127" i="1"/>
  <c r="F193" i="1"/>
  <c r="F128" i="1"/>
  <c r="G128" i="1" s="1"/>
  <c r="F42" i="1"/>
  <c r="G42" i="1" s="1"/>
  <c r="F124" i="1"/>
  <c r="G124" i="1" s="1"/>
  <c r="F129" i="1"/>
  <c r="G129" i="1" s="1"/>
  <c r="F130" i="1"/>
  <c r="G130" i="1" s="1"/>
  <c r="F125" i="1"/>
  <c r="G125" i="1" s="1"/>
  <c r="F131" i="1"/>
  <c r="F194" i="1"/>
  <c r="F147" i="1"/>
  <c r="F142" i="1"/>
  <c r="F144" i="1"/>
  <c r="F132" i="1"/>
  <c r="F135" i="1"/>
  <c r="F141" i="1"/>
  <c r="F170" i="1"/>
  <c r="F235" i="1"/>
  <c r="F136" i="1"/>
  <c r="F137" i="1"/>
  <c r="F33" i="1"/>
  <c r="F145" i="1"/>
  <c r="F143" i="1"/>
  <c r="F167" i="1"/>
  <c r="F148" i="1"/>
  <c r="F139" i="1"/>
  <c r="F146" i="1"/>
  <c r="F138" i="1"/>
  <c r="F140" i="1"/>
  <c r="F133" i="1"/>
  <c r="F134" i="1"/>
  <c r="F51" i="1"/>
  <c r="F150" i="1"/>
  <c r="F158" i="1"/>
  <c r="F162" i="1"/>
  <c r="G162" i="1" s="1"/>
  <c r="F165" i="1"/>
  <c r="G165" i="1" s="1"/>
  <c r="F163" i="1"/>
  <c r="G163" i="1" s="1"/>
  <c r="F161" i="1"/>
  <c r="G161" i="1" s="1"/>
  <c r="F164" i="1"/>
  <c r="G164" i="1" s="1"/>
  <c r="F153" i="1"/>
  <c r="G153" i="1" s="1"/>
  <c r="F166" i="1"/>
  <c r="F152" i="1"/>
  <c r="F151" i="1"/>
  <c r="F160" i="1"/>
  <c r="F149" i="1"/>
  <c r="F172" i="1"/>
  <c r="F173" i="1"/>
  <c r="F178" i="1"/>
  <c r="F176" i="1"/>
  <c r="F177" i="1"/>
  <c r="F171" i="1"/>
  <c r="F174" i="1"/>
  <c r="F179" i="1"/>
  <c r="F183" i="1"/>
  <c r="F118" i="1"/>
  <c r="F180" i="1"/>
  <c r="F175" i="1"/>
  <c r="F84" i="1"/>
  <c r="F78" i="1"/>
  <c r="F184" i="1"/>
  <c r="F185" i="1"/>
  <c r="F186" i="1"/>
  <c r="F187" i="1"/>
  <c r="F188" i="1"/>
  <c r="F199" i="1"/>
  <c r="F213" i="1"/>
  <c r="F200" i="1"/>
  <c r="G200" i="1" s="1"/>
  <c r="F204" i="1"/>
  <c r="G204" i="1" s="1"/>
  <c r="F190" i="1"/>
  <c r="G190" i="1" s="1"/>
  <c r="F216" i="1"/>
  <c r="G216" i="1" s="1"/>
  <c r="F29" i="1"/>
  <c r="G29" i="1" s="1"/>
  <c r="F203" i="1"/>
  <c r="F65" i="1"/>
  <c r="F197" i="1"/>
  <c r="F208" i="1"/>
  <c r="F195" i="1"/>
  <c r="F201" i="1"/>
  <c r="F212" i="1"/>
  <c r="F198" i="1"/>
  <c r="F215" i="1"/>
  <c r="F205" i="1"/>
  <c r="F207" i="1"/>
  <c r="F218" i="1"/>
  <c r="F217" i="1"/>
  <c r="F156" i="1"/>
  <c r="F202" i="1"/>
  <c r="F220" i="1"/>
  <c r="F231" i="1"/>
  <c r="F43" i="1"/>
  <c r="F223" i="1"/>
  <c r="F222" i="1"/>
  <c r="F221" i="1"/>
  <c r="F224" i="1"/>
  <c r="F230" i="1"/>
  <c r="F182" i="1"/>
  <c r="F225" i="1"/>
  <c r="F226" i="1"/>
  <c r="F228" i="1"/>
  <c r="G228" i="1" s="1"/>
  <c r="F229" i="1"/>
  <c r="G229" i="1" s="1"/>
  <c r="F232" i="1"/>
  <c r="G232" i="1" s="1"/>
  <c r="F46" i="1"/>
  <c r="G46" i="1" s="1"/>
  <c r="F241" i="1"/>
  <c r="G241" i="1" s="1"/>
  <c r="F233" i="1"/>
  <c r="G233" i="1" s="1"/>
  <c r="F234" i="1"/>
  <c r="F245" i="1"/>
  <c r="F242" i="1"/>
  <c r="F246" i="1"/>
  <c r="F196" i="1"/>
  <c r="F247" i="1"/>
  <c r="F30" i="1"/>
  <c r="F243" i="1"/>
  <c r="F206" i="1"/>
  <c r="F159" i="1"/>
  <c r="F248" i="1"/>
  <c r="F249" i="1"/>
  <c r="F250" i="1"/>
  <c r="F209" i="1"/>
  <c r="F251" i="1"/>
  <c r="F210" i="1"/>
  <c r="F155" i="1"/>
</calcChain>
</file>

<file path=xl/sharedStrings.xml><?xml version="1.0" encoding="utf-8"?>
<sst xmlns="http://schemas.openxmlformats.org/spreadsheetml/2006/main" count="507" uniqueCount="506">
  <si>
    <t>iso3_r250_label</t>
  </si>
  <si>
    <t>iso3_r250_id</t>
  </si>
  <si>
    <t>iso3_r250_name</t>
  </si>
  <si>
    <t>total_aqua_value_usd1000</t>
  </si>
  <si>
    <t>NatRes_Share_GTAP_all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</si>
  <si>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</si>
  <si>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</si>
  <si>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</si>
  <si>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</si>
  <si>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</si>
  <si>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</si>
  <si>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</si>
  <si>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</si>
  <si>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</si>
  <si>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Ã…land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</si>
  <si>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</si>
  <si>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</si>
  <si>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</si>
  <si>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</si>
  <si>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</si>
  <si>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</si>
  <si>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</si>
  <si>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</si>
  <si>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</si>
  <si>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</si>
  <si>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</si>
  <si>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</si>
  <si>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</si>
  <si>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</si>
  <si>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</si>
  <si>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</si>
  <si>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</si>
  <si>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</si>
  <si>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</si>
  <si>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</si>
  <si>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</si>
  <si>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</si>
  <si>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</si>
  <si>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</si>
  <si>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</si>
  <si>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</si>
  <si>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</si>
  <si>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</si>
  <si>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</si>
  <si>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</si>
  <si>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</si>
  <si>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</si>
  <si>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</si>
  <si>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</si>
  <si>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</si>
  <si>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</si>
  <si>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</si>
  <si>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</si>
  <si>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</si>
  <si>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</si>
  <si>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</si>
  <si>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</si>
  <si>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</si>
  <si>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</si>
  <si>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</si>
  <si>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BarthÃ©lemy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</si>
  <si>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</si>
  <si>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</si>
  <si>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</si>
  <si>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</si>
  <si>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</si>
  <si>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</si>
  <si>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</si>
  <si>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</si>
  <si>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</si>
  <si>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</si>
  <si>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</si>
  <si>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</si>
  <si>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</si>
  <si>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</si>
  <si>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</si>
  <si>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</si>
  <si>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</si>
  <si>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</si>
  <si>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</si>
  <si>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</si>
  <si>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</si>
  <si>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</si>
  <si>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</si>
  <si>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</si>
  <si>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</si>
  <si>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Islands</t>
  </si>
  <si>
    <t>CHE</t>
  </si>
  <si>
    <t>Switzerland</t>
  </si>
  <si>
    <t>CHL</t>
  </si>
  <si>
    <t>Chile</t>
  </si>
  <si>
    <t>CHN</t>
  </si>
  <si>
    <t>China</t>
  </si>
  <si>
    <t>CIV</t>
  </si>
  <si>
    <t>CÃ´te d'lvoire</t>
  </si>
  <si>
    <t>CMR</t>
  </si>
  <si>
    <t>Cameroon</t>
  </si>
  <si>
    <t>COD</t>
  </si>
  <si>
    <t>Democratic Republic of the Congo</t>
  </si>
  <si>
    <t>COG</t>
  </si>
  <si>
    <t>Republic of the 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</si>
  <si>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</si>
  <si>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</si>
  <si>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</si>
  <si>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</si>
  <si>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</si>
  <si>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</si>
  <si>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</si>
  <si>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</si>
  <si>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</si>
  <si>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</si>
  <si>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</si>
  <si>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</si>
  <si>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</si>
  <si>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CuraÃ§ao</t>
  </si>
  <si>
    <t>CXR</t>
  </si>
  <si>
    <t>Christmas Island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</si>
  <si>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</si>
  <si>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</si>
  <si>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</si>
  <si>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</si>
  <si>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</si>
  <si>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</si>
  <si>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</si>
  <si>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</si>
  <si>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</si>
  <si>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</si>
  <si>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</si>
  <si>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</si>
  <si>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</si>
  <si>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</si>
  <si>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</si>
  <si>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</si>
  <si>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</si>
  <si>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</si>
  <si>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</si>
  <si>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</si>
  <si>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</si>
  <si>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</si>
  <si>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</si>
  <si>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</si>
  <si>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</si>
  <si>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</si>
  <si>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</si>
  <si>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</si>
  <si>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</si>
  <si>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</si>
  <si>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</si>
  <si>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</si>
  <si>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</si>
  <si>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</si>
  <si>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</si>
  <si>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</si>
  <si>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</si>
  <si>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</si>
  <si>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</si>
  <si>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</si>
  <si>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</si>
  <si>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</si>
  <si>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</si>
  <si>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</si>
  <si>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</si>
  <si>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</si>
  <si>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</si>
  <si>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</si>
  <si>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</si>
  <si>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</si>
  <si>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</si>
  <si>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</si>
  <si>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</si>
  <si>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</si>
  <si>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</si>
  <si>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</si>
  <si>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</si>
  <si>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</si>
  <si>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</si>
  <si>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</si>
  <si>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</si>
  <si>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</si>
  <si>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</si>
  <si>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</si>
  <si>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</si>
  <si>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</si>
  <si>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</si>
  <si>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</si>
  <si>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</si>
  <si>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</si>
  <si>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</si>
  <si>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</si>
  <si>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</si>
  <si>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</si>
  <si>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</si>
  <si>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</si>
  <si>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</si>
  <si>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</si>
  <si>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</si>
  <si>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</si>
  <si>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</si>
  <si>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China, Hong Kong Special Administrative Region</t>
  </si>
  <si>
    <t>HMD</t>
  </si>
  <si>
    <t>Heard Island and McDonald Island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</si>
  <si>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</si>
  <si>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</si>
  <si>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</si>
  <si>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</si>
  <si>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</si>
  <si>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</si>
  <si>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</si>
  <si>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</si>
  <si>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</si>
  <si>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</si>
  <si>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</si>
  <si>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</si>
  <si>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</si>
  <si>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</si>
  <si>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</si>
  <si>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</si>
  <si>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</si>
  <si>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</si>
  <si>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</si>
  <si>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</si>
  <si>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</si>
  <si>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</si>
  <si>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</si>
  <si>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</si>
  <si>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</si>
  <si>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</si>
  <si>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</si>
  <si>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</si>
  <si>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</si>
  <si>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</si>
  <si>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</si>
  <si>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</si>
  <si>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</si>
  <si>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</si>
  <si>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</si>
  <si>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</si>
  <si>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</si>
  <si>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</si>
  <si>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</si>
  <si>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</si>
  <si>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</si>
  <si>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</si>
  <si>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</si>
  <si>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</si>
  <si>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</si>
  <si>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</si>
  <si>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</si>
  <si>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</si>
  <si>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</si>
  <si>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</si>
  <si>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</si>
  <si>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</si>
  <si>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</si>
  <si>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</si>
  <si>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</si>
  <si>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</si>
  <si>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</si>
  <si>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</si>
  <si>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</si>
  <si>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</si>
  <si>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</si>
  <si>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</si>
  <si>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</si>
  <si>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</si>
  <si>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</si>
  <si>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</si>
  <si>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</si>
  <si>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</si>
  <si>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</si>
  <si>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</si>
  <si>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</si>
  <si>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</si>
  <si>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</si>
  <si>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</si>
  <si>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</si>
  <si>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</si>
  <si>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MAF</t>
  </si>
  <si>
    <t>Saint-Martin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</si>
  <si>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</si>
  <si>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</si>
  <si>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</si>
  <si>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</si>
  <si>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</si>
  <si>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</si>
  <si>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</si>
  <si>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</si>
  <si>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</si>
  <si>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</si>
  <si>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</si>
  <si>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</si>
  <si>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</si>
  <si>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</si>
  <si>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</si>
  <si>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</si>
  <si>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</si>
  <si>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</si>
  <si>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</si>
  <si>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</si>
  <si>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</si>
  <si>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</si>
  <si>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</si>
  <si>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</si>
  <si>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</si>
  <si>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</si>
  <si>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</si>
  <si>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</si>
  <si>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</si>
  <si>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</si>
  <si>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</si>
  <si>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</si>
  <si>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</si>
  <si>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</si>
  <si>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</si>
  <si>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</si>
  <si>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</si>
  <si>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</si>
  <si>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</si>
  <si>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</si>
  <si>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</si>
  <si>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</si>
  <si>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</si>
  <si>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</si>
  <si>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</si>
  <si>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</si>
  <si>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</si>
  <si>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</si>
  <si>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</si>
  <si>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</si>
  <si>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</si>
  <si>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</si>
  <si>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</si>
  <si>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</si>
  <si>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</si>
  <si>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</si>
  <si>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</si>
  <si>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</si>
  <si>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</si>
  <si>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</si>
  <si>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</si>
  <si>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</si>
  <si>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</si>
  <si>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</si>
  <si>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</si>
  <si>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</si>
  <si>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</si>
  <si>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</si>
  <si>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</si>
  <si>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</si>
  <si>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</si>
  <si>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</si>
  <si>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</si>
  <si>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</si>
  <si>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</si>
  <si>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</si>
  <si>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</si>
  <si>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</si>
  <si>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</si>
  <si>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</si>
  <si>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</si>
  <si>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</si>
  <si>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</si>
  <si>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</si>
  <si>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</si>
  <si>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</si>
  <si>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</si>
  <si>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</si>
  <si>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</si>
  <si>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</si>
  <si>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</si>
  <si>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</si>
  <si>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</si>
  <si>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</si>
  <si>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</si>
  <si>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</si>
  <si>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</si>
  <si>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</si>
  <si>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</si>
  <si>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</si>
  <si>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</si>
  <si>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RÃ©union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</si>
  <si>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</si>
  <si>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</si>
  <si>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</si>
  <si>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</si>
  <si>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</si>
  <si>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</si>
  <si>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</si>
  <si>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</si>
  <si>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</si>
  <si>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</si>
  <si>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</si>
  <si>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</si>
  <si>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</si>
  <si>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</si>
  <si>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SGS</t>
  </si>
  <si>
    <t>South Georgia and the South Sand</t>
  </si>
  <si>
    <t>SHN</t>
  </si>
  <si>
    <t>Saint Helena, Ascension and Tris</t>
  </si>
  <si>
    <t>SJM</t>
  </si>
  <si>
    <t>Svalbard and Jan Mayen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</si>
  <si>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</si>
  <si>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</si>
  <si>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</si>
  <si>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</si>
  <si>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</si>
  <si>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</si>
  <si>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</si>
  <si>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</si>
  <si>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</si>
  <si>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</si>
  <si>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</si>
  <si>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</si>
  <si>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</si>
  <si>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</si>
  <si>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</si>
  <si>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</si>
  <si>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</si>
  <si>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SÃ£o TomÃ© and PrÃ­ncipe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</si>
  <si>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</si>
  <si>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</si>
  <si>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</si>
  <si>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</si>
  <si>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</si>
  <si>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</si>
  <si>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</si>
  <si>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</si>
  <si>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</si>
  <si>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</si>
  <si>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</si>
  <si>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</si>
  <si>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</si>
  <si>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</si>
  <si>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</si>
  <si>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</si>
  <si>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</si>
  <si>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</si>
  <si>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</si>
  <si>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</si>
  <si>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</si>
  <si>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</si>
  <si>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</si>
  <si>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</si>
  <si>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</si>
  <si>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</si>
  <si>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</si>
  <si>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</si>
  <si>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</si>
  <si>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</si>
  <si>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</si>
  <si>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</si>
  <si>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</si>
  <si>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</si>
  <si>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</si>
  <si>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</si>
  <si>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</si>
  <si>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</si>
  <si>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</si>
  <si>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</si>
  <si>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</si>
  <si>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</si>
  <si>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</si>
  <si>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</si>
  <si>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</si>
  <si>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</si>
  <si>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</si>
  <si>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</si>
  <si>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</si>
  <si>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</si>
  <si>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UMI</t>
  </si>
  <si>
    <t>United States Minor Outlying Isl</t>
  </si>
  <si>
    <t>URY</t>
  </si>
  <si>
    <t>Uruguay</t>
  </si>
  <si>
    <t>USA</t>
  </si>
  <si>
    <t>United States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</si>
  <si>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</si>
  <si>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</si>
  <si>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</si>
  <si>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</si>
  <si>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</si>
  <si>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</si>
  <si>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</si>
  <si>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</si>
  <si>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</si>
  <si>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</si>
  <si>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</si>
  <si>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Virgin Islands, U.S.</t>
  </si>
  <si>
    <t>VNM</t>
  </si>
  <si>
    <t>Vietnam</t>
  </si>
  <si>
    <t>VUT</t>
  </si>
  <si>
    <t>Vanuatu</t>
  </si>
  <si>
    <t>WLF</t>
  </si>
  <si>
    <t>Wallis and Futuna</t>
  </si>
  <si>
    <t>WSM</t>
  </si>
  <si>
    <t>Samoa</t>
  </si>
  <si>
    <t>XKX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</si>
  <si>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</si>
  <si>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</si>
  <si>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</si>
  <si>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</si>
  <si>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</si>
  <si>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</si>
  <si>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</si>
  <si>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</si>
  <si>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aquaculture_value_2019usd</t>
  </si>
  <si>
    <t>gep_aquaculture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</si>
</sst>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8540-2033-473B-A49D-07A35676F708}">
  <dimension ref="A1:G251"/>
  <sheetViews>
    <sheetView tabSelected="1" topLeftCell="A241" workbookViewId="0">
      <selection activeCell="J251" sqref="J251"/>
    </sheetView>
  </sheetViews>
  <sheetFormatPr defaultRowHeight="14.35" x14ac:dyDescent="0.5"/>
  <cols>
    <col min="4" max="4" width="21.9375" bestFit="1" customWidth="1"/>
    <col min="5" max="5" width="19.46875" bestFit="1" customWidth="1"/>
    <col min="6" max="6" width="23.05859375" bestFit="1" customWidth="1"/>
    <col min="7" max="7" width="13.8789062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504</v>
      </c>
      <c r="G1" t="s">
        <v>505</v>
      </c>
    </row>
    <row r="2" spans="1:7" x14ac:dyDescent="0.5">
      <c r="A2" t="s">
        <v>7</v>
      </c>
      <c r="B2">
        <v>4</v>
      </c>
      <c r="C2" t="s">
        <v>8</v>
      </c>
      <c r="D2">
        <v>20196.310000000001</v>
      </c>
      <c r="E2">
        <v>0.40409836100000002</v>
      </c>
      <c r="F2">
        <f t="shared" ref="F2:F65" si="0">1000*D2</f>
        <v>20196310</v>
      </c>
      <c r="G2">
        <f t="shared" ref="G2:G65" si="1">F2*E2</f>
        <v>8161295.76924791</v>
      </c>
    </row>
    <row r="3" spans="1:7" x14ac:dyDescent="0.5">
      <c r="A3" t="s">
        <v>15</v>
      </c>
      <c r="B3">
        <v>8</v>
      </c>
      <c r="C3" t="s">
        <v>16</v>
      </c>
      <c r="D3">
        <v>22373.53</v>
      </c>
      <c r="E3">
        <v>0.38372093000000002</v>
      </c>
      <c r="F3">
        <f t="shared" si="0"/>
        <v>22373530</v>
      </c>
      <c r="G3">
        <f t="shared" si="1"/>
        <v>8585191.738982901</v>
      </c>
    </row>
    <row r="4" spans="1:7" x14ac:dyDescent="0.5">
      <c r="A4" t="s">
        <v>27</v>
      </c>
      <c r="B4">
        <v>10</v>
      </c>
      <c r="C4" t="s">
        <v>28</v>
      </c>
    </row>
    <row r="5" spans="1:7" x14ac:dyDescent="0.5">
      <c r="A5" t="s">
        <v>133</v>
      </c>
      <c r="B5">
        <v>12</v>
      </c>
      <c r="C5" t="s">
        <v>134</v>
      </c>
      <c r="D5">
        <v>23321.22</v>
      </c>
      <c r="E5">
        <v>0.39790575900000003</v>
      </c>
      <c r="F5">
        <f t="shared" si="0"/>
        <v>23321220</v>
      </c>
      <c r="G5">
        <f t="shared" si="1"/>
        <v>9279647.7449059803</v>
      </c>
    </row>
    <row r="6" spans="1:7" x14ac:dyDescent="0.5">
      <c r="A6" t="s">
        <v>25</v>
      </c>
      <c r="B6">
        <v>16</v>
      </c>
      <c r="C6" t="s">
        <v>26</v>
      </c>
      <c r="D6">
        <v>110</v>
      </c>
      <c r="E6">
        <v>0.58782608700000005</v>
      </c>
      <c r="F6">
        <f t="shared" si="0"/>
        <v>110000</v>
      </c>
      <c r="G6">
        <f t="shared" si="1"/>
        <v>64660.869570000003</v>
      </c>
    </row>
    <row r="7" spans="1:7" x14ac:dyDescent="0.5">
      <c r="A7" t="s">
        <v>17</v>
      </c>
      <c r="B7">
        <v>20</v>
      </c>
      <c r="C7" t="s">
        <v>18</v>
      </c>
      <c r="D7">
        <v>0</v>
      </c>
      <c r="E7">
        <v>0.45245901599999999</v>
      </c>
      <c r="F7">
        <v>0</v>
      </c>
      <c r="G7">
        <v>0</v>
      </c>
    </row>
    <row r="8" spans="1:7" x14ac:dyDescent="0.5">
      <c r="A8" t="s">
        <v>9</v>
      </c>
      <c r="B8">
        <v>24</v>
      </c>
      <c r="C8" t="s">
        <v>10</v>
      </c>
      <c r="D8">
        <v>7976.4</v>
      </c>
      <c r="E8">
        <v>0.36796116499999998</v>
      </c>
      <c r="F8">
        <f t="shared" si="0"/>
        <v>7976400</v>
      </c>
      <c r="G8">
        <f t="shared" si="1"/>
        <v>2935005.4365059999</v>
      </c>
    </row>
    <row r="9" spans="1:7" x14ac:dyDescent="0.5">
      <c r="A9" t="s">
        <v>31</v>
      </c>
      <c r="B9">
        <v>28</v>
      </c>
      <c r="C9" t="s">
        <v>32</v>
      </c>
      <c r="D9">
        <v>111.11</v>
      </c>
      <c r="E9">
        <v>0.4</v>
      </c>
      <c r="F9">
        <f t="shared" si="0"/>
        <v>111110</v>
      </c>
      <c r="G9">
        <f t="shared" si="1"/>
        <v>44444</v>
      </c>
    </row>
    <row r="10" spans="1:7" x14ac:dyDescent="0.5">
      <c r="A10" t="s">
        <v>37</v>
      </c>
      <c r="B10">
        <v>31</v>
      </c>
      <c r="C10" t="s">
        <v>38</v>
      </c>
      <c r="D10">
        <v>1360.42</v>
      </c>
      <c r="E10">
        <v>0.39519230799999999</v>
      </c>
      <c r="F10">
        <f t="shared" si="0"/>
        <v>1360420</v>
      </c>
      <c r="G10">
        <f t="shared" si="1"/>
        <v>537627.51964935998</v>
      </c>
    </row>
    <row r="11" spans="1:7" x14ac:dyDescent="0.5">
      <c r="A11" t="s">
        <v>21</v>
      </c>
      <c r="B11">
        <v>32</v>
      </c>
      <c r="C11" t="s">
        <v>22</v>
      </c>
      <c r="D11">
        <v>13353.37</v>
      </c>
      <c r="E11">
        <v>0.48888888899999999</v>
      </c>
      <c r="F11">
        <f t="shared" si="0"/>
        <v>13353370</v>
      </c>
      <c r="G11">
        <f t="shared" si="1"/>
        <v>6528314.2237059297</v>
      </c>
    </row>
    <row r="12" spans="1:7" x14ac:dyDescent="0.5">
      <c r="A12" t="s">
        <v>33</v>
      </c>
      <c r="B12">
        <v>36</v>
      </c>
      <c r="C12" t="s">
        <v>34</v>
      </c>
      <c r="D12">
        <v>883319.52</v>
      </c>
      <c r="E12">
        <v>0.55818540400000005</v>
      </c>
      <c r="F12">
        <f t="shared" si="0"/>
        <v>883319520</v>
      </c>
      <c r="G12">
        <f t="shared" si="1"/>
        <v>493056063.13228613</v>
      </c>
    </row>
    <row r="13" spans="1:7" x14ac:dyDescent="0.5">
      <c r="A13" t="s">
        <v>35</v>
      </c>
      <c r="B13">
        <v>40</v>
      </c>
      <c r="C13" t="s">
        <v>36</v>
      </c>
      <c r="D13">
        <v>33320.879999999997</v>
      </c>
      <c r="E13">
        <v>0.577205882</v>
      </c>
      <c r="F13">
        <f t="shared" si="0"/>
        <v>33320879.999999996</v>
      </c>
      <c r="G13">
        <f t="shared" si="1"/>
        <v>19233007.929416157</v>
      </c>
    </row>
    <row r="14" spans="1:7" x14ac:dyDescent="0.5">
      <c r="A14" t="s">
        <v>55</v>
      </c>
      <c r="B14">
        <v>44</v>
      </c>
      <c r="C14" t="s">
        <v>56</v>
      </c>
      <c r="D14">
        <v>121</v>
      </c>
      <c r="E14">
        <v>0.4</v>
      </c>
      <c r="F14">
        <f t="shared" si="0"/>
        <v>121000</v>
      </c>
      <c r="G14">
        <f t="shared" si="1"/>
        <v>48400</v>
      </c>
    </row>
    <row r="15" spans="1:7" x14ac:dyDescent="0.5">
      <c r="A15" t="s">
        <v>53</v>
      </c>
      <c r="B15">
        <v>48</v>
      </c>
      <c r="C15" t="s">
        <v>54</v>
      </c>
      <c r="D15">
        <v>382.98</v>
      </c>
      <c r="E15">
        <v>0.64908722100000005</v>
      </c>
      <c r="F15">
        <f t="shared" si="0"/>
        <v>382980</v>
      </c>
      <c r="G15">
        <f t="shared" si="1"/>
        <v>248587.42389858002</v>
      </c>
    </row>
    <row r="16" spans="1:7" x14ac:dyDescent="0.5">
      <c r="A16" t="s">
        <v>49</v>
      </c>
      <c r="B16">
        <v>50</v>
      </c>
      <c r="C16" t="s">
        <v>50</v>
      </c>
      <c r="D16">
        <v>6031289.0700000003</v>
      </c>
      <c r="E16">
        <v>0.44057794099999997</v>
      </c>
      <c r="F16">
        <f t="shared" si="0"/>
        <v>6031289070</v>
      </c>
      <c r="G16">
        <f t="shared" si="1"/>
        <v>2657252920.0364046</v>
      </c>
    </row>
    <row r="17" spans="1:7" x14ac:dyDescent="0.5">
      <c r="A17" t="s">
        <v>23</v>
      </c>
      <c r="B17">
        <v>51</v>
      </c>
      <c r="C17" t="s">
        <v>24</v>
      </c>
      <c r="D17">
        <v>70723.16</v>
      </c>
      <c r="E17">
        <v>0.49471458800000001</v>
      </c>
      <c r="F17">
        <f t="shared" si="0"/>
        <v>70723160</v>
      </c>
      <c r="G17">
        <f t="shared" si="1"/>
        <v>34987778.96145808</v>
      </c>
    </row>
    <row r="18" spans="1:7" x14ac:dyDescent="0.5">
      <c r="A18" t="s">
        <v>71</v>
      </c>
      <c r="B18">
        <v>52</v>
      </c>
      <c r="C18" t="s">
        <v>72</v>
      </c>
      <c r="D18">
        <v>256.25</v>
      </c>
      <c r="E18">
        <v>0.4</v>
      </c>
      <c r="F18">
        <f t="shared" si="0"/>
        <v>256250</v>
      </c>
      <c r="G18">
        <f t="shared" si="1"/>
        <v>102500</v>
      </c>
    </row>
    <row r="19" spans="1:7" x14ac:dyDescent="0.5">
      <c r="A19" t="s">
        <v>41</v>
      </c>
      <c r="B19">
        <v>56</v>
      </c>
      <c r="C19" t="s">
        <v>42</v>
      </c>
      <c r="D19">
        <v>602.67999999999995</v>
      </c>
      <c r="E19">
        <v>0.77990430600000005</v>
      </c>
      <c r="F19">
        <f t="shared" si="0"/>
        <v>602680</v>
      </c>
      <c r="G19">
        <f t="shared" si="1"/>
        <v>470032.72714008001</v>
      </c>
    </row>
    <row r="20" spans="1:7" x14ac:dyDescent="0.5">
      <c r="A20" t="s">
        <v>65</v>
      </c>
      <c r="B20">
        <v>60</v>
      </c>
      <c r="C20" t="s">
        <v>66</v>
      </c>
      <c r="D20">
        <v>0</v>
      </c>
      <c r="E20">
        <v>0.4</v>
      </c>
      <c r="F20">
        <f t="shared" si="0"/>
        <v>0</v>
      </c>
      <c r="G20">
        <f t="shared" si="1"/>
        <v>0</v>
      </c>
    </row>
    <row r="21" spans="1:7" x14ac:dyDescent="0.5">
      <c r="A21" t="s">
        <v>75</v>
      </c>
      <c r="B21">
        <v>64</v>
      </c>
      <c r="C21" t="s">
        <v>76</v>
      </c>
      <c r="D21">
        <v>767.18</v>
      </c>
      <c r="E21">
        <v>0.40409836100000002</v>
      </c>
      <c r="F21">
        <f t="shared" si="0"/>
        <v>767180</v>
      </c>
      <c r="G21">
        <f t="shared" si="1"/>
        <v>310016.18059198</v>
      </c>
    </row>
    <row r="22" spans="1:7" x14ac:dyDescent="0.5">
      <c r="A22" t="s">
        <v>67</v>
      </c>
      <c r="B22">
        <v>68</v>
      </c>
      <c r="C22" t="s">
        <v>68</v>
      </c>
      <c r="D22">
        <v>54373.95</v>
      </c>
      <c r="E22">
        <v>0.84870848700000001</v>
      </c>
      <c r="F22">
        <f t="shared" si="0"/>
        <v>54373950</v>
      </c>
      <c r="G22">
        <f t="shared" si="1"/>
        <v>46147632.836713649</v>
      </c>
    </row>
    <row r="23" spans="1:7" x14ac:dyDescent="0.5">
      <c r="A23" t="s">
        <v>57</v>
      </c>
      <c r="B23">
        <v>70</v>
      </c>
      <c r="C23" t="s">
        <v>58</v>
      </c>
      <c r="D23">
        <v>14800.43</v>
      </c>
      <c r="E23">
        <v>0.45245901599999999</v>
      </c>
      <c r="F23">
        <f t="shared" si="0"/>
        <v>14800430</v>
      </c>
      <c r="G23">
        <f t="shared" si="1"/>
        <v>6696587.9941768795</v>
      </c>
    </row>
    <row r="24" spans="1:7" x14ac:dyDescent="0.5">
      <c r="A24" t="s">
        <v>79</v>
      </c>
      <c r="B24">
        <v>72</v>
      </c>
      <c r="C24" t="s">
        <v>80</v>
      </c>
      <c r="D24">
        <v>130.16</v>
      </c>
      <c r="E24">
        <v>0.48823529399999999</v>
      </c>
      <c r="F24">
        <f t="shared" si="0"/>
        <v>130160</v>
      </c>
      <c r="G24">
        <f t="shared" si="1"/>
        <v>63548.70586704</v>
      </c>
    </row>
    <row r="25" spans="1:7" x14ac:dyDescent="0.5">
      <c r="A25" t="s">
        <v>77</v>
      </c>
      <c r="B25">
        <v>74</v>
      </c>
      <c r="C25" t="s">
        <v>78</v>
      </c>
    </row>
    <row r="26" spans="1:7" x14ac:dyDescent="0.5">
      <c r="A26" t="s">
        <v>69</v>
      </c>
      <c r="B26">
        <v>76</v>
      </c>
      <c r="C26" t="s">
        <v>70</v>
      </c>
      <c r="D26">
        <v>1196530.03</v>
      </c>
      <c r="E26">
        <v>0.45892351300000001</v>
      </c>
      <c r="F26">
        <f t="shared" si="0"/>
        <v>1196530030</v>
      </c>
      <c r="G26">
        <f t="shared" si="1"/>
        <v>549115764.7775954</v>
      </c>
    </row>
    <row r="27" spans="1:7" x14ac:dyDescent="0.5">
      <c r="A27" t="s">
        <v>63</v>
      </c>
      <c r="B27">
        <v>84</v>
      </c>
      <c r="C27" t="s">
        <v>64</v>
      </c>
      <c r="D27">
        <v>2675</v>
      </c>
      <c r="E27">
        <v>0.45114345099999997</v>
      </c>
      <c r="F27">
        <f t="shared" si="0"/>
        <v>2675000</v>
      </c>
      <c r="G27">
        <f t="shared" si="1"/>
        <v>1206808.7314249999</v>
      </c>
    </row>
    <row r="28" spans="1:7" x14ac:dyDescent="0.5">
      <c r="A28" t="s">
        <v>215</v>
      </c>
      <c r="B28">
        <v>86</v>
      </c>
      <c r="C28" t="s">
        <v>216</v>
      </c>
      <c r="D28">
        <v>0</v>
      </c>
      <c r="E28">
        <v>0.43187772899999999</v>
      </c>
      <c r="F28">
        <f t="shared" si="0"/>
        <v>0</v>
      </c>
      <c r="G28">
        <f t="shared" si="1"/>
        <v>0</v>
      </c>
    </row>
    <row r="29" spans="1:7" x14ac:dyDescent="0.5">
      <c r="A29" t="s">
        <v>401</v>
      </c>
      <c r="B29">
        <v>90</v>
      </c>
      <c r="C29" t="s">
        <v>402</v>
      </c>
      <c r="D29">
        <v>11.67</v>
      </c>
      <c r="E29">
        <v>0.58782608700000005</v>
      </c>
      <c r="F29">
        <f t="shared" si="0"/>
        <v>11670</v>
      </c>
      <c r="G29">
        <f t="shared" si="1"/>
        <v>6859.9304352900008</v>
      </c>
    </row>
    <row r="30" spans="1:7" x14ac:dyDescent="0.5">
      <c r="A30" t="s">
        <v>483</v>
      </c>
      <c r="B30">
        <v>92</v>
      </c>
      <c r="C30" t="s">
        <v>484</v>
      </c>
      <c r="D30">
        <v>22.98</v>
      </c>
      <c r="E30">
        <v>0.4</v>
      </c>
      <c r="F30">
        <f t="shared" si="0"/>
        <v>22980</v>
      </c>
      <c r="G30">
        <f t="shared" si="1"/>
        <v>9192</v>
      </c>
    </row>
    <row r="31" spans="1:7" x14ac:dyDescent="0.5">
      <c r="A31" t="s">
        <v>73</v>
      </c>
      <c r="B31">
        <v>96</v>
      </c>
      <c r="C31" t="s">
        <v>74</v>
      </c>
      <c r="D31">
        <v>6997.06</v>
      </c>
      <c r="E31">
        <v>0.44138929100000002</v>
      </c>
      <c r="F31">
        <f t="shared" si="0"/>
        <v>6997060</v>
      </c>
      <c r="G31">
        <f t="shared" si="1"/>
        <v>3088427.35248446</v>
      </c>
    </row>
    <row r="32" spans="1:7" x14ac:dyDescent="0.5">
      <c r="A32" t="s">
        <v>51</v>
      </c>
      <c r="B32">
        <v>100</v>
      </c>
      <c r="C32" t="s">
        <v>52</v>
      </c>
      <c r="D32">
        <v>45079.839999999997</v>
      </c>
      <c r="E32">
        <v>0.55493827200000001</v>
      </c>
      <c r="F32">
        <f t="shared" si="0"/>
        <v>45079840</v>
      </c>
      <c r="G32">
        <f t="shared" si="1"/>
        <v>25016528.511636481</v>
      </c>
    </row>
    <row r="33" spans="1:7" x14ac:dyDescent="0.5">
      <c r="A33" t="s">
        <v>299</v>
      </c>
      <c r="B33">
        <v>104</v>
      </c>
      <c r="C33" t="s">
        <v>300</v>
      </c>
      <c r="D33">
        <v>1844516.95</v>
      </c>
      <c r="E33">
        <v>0.30658143900000001</v>
      </c>
      <c r="F33">
        <f t="shared" si="0"/>
        <v>1844516950</v>
      </c>
      <c r="G33">
        <f t="shared" si="1"/>
        <v>565494660.79089105</v>
      </c>
    </row>
    <row r="34" spans="1:7" x14ac:dyDescent="0.5">
      <c r="A34" t="s">
        <v>39</v>
      </c>
      <c r="B34">
        <v>108</v>
      </c>
      <c r="C34" t="s">
        <v>40</v>
      </c>
      <c r="D34">
        <v>1267.8599999999999</v>
      </c>
      <c r="E34">
        <v>0.43187772899999999</v>
      </c>
      <c r="F34">
        <f t="shared" si="0"/>
        <v>1267860</v>
      </c>
      <c r="G34">
        <f t="shared" si="1"/>
        <v>547560.49748994003</v>
      </c>
    </row>
    <row r="35" spans="1:7" x14ac:dyDescent="0.5">
      <c r="A35" t="s">
        <v>61</v>
      </c>
      <c r="B35">
        <v>112</v>
      </c>
      <c r="C35" t="s">
        <v>62</v>
      </c>
      <c r="D35">
        <v>23635.65</v>
      </c>
      <c r="E35">
        <v>0.6</v>
      </c>
      <c r="F35">
        <f t="shared" si="0"/>
        <v>23635650</v>
      </c>
      <c r="G35">
        <f t="shared" si="1"/>
        <v>14181390</v>
      </c>
    </row>
    <row r="36" spans="1:7" x14ac:dyDescent="0.5">
      <c r="A36" t="s">
        <v>243</v>
      </c>
      <c r="B36">
        <v>116</v>
      </c>
      <c r="C36" t="s">
        <v>244</v>
      </c>
      <c r="D36">
        <v>924919</v>
      </c>
      <c r="E36">
        <v>0.30037453200000003</v>
      </c>
      <c r="F36">
        <f t="shared" si="0"/>
        <v>924919000</v>
      </c>
      <c r="G36">
        <f t="shared" si="1"/>
        <v>277822111.76290804</v>
      </c>
    </row>
    <row r="37" spans="1:7" x14ac:dyDescent="0.5">
      <c r="A37" t="s">
        <v>95</v>
      </c>
      <c r="B37">
        <v>120</v>
      </c>
      <c r="C37" t="s">
        <v>96</v>
      </c>
      <c r="D37">
        <v>22108.3</v>
      </c>
      <c r="E37">
        <v>0.39510489500000001</v>
      </c>
      <c r="F37">
        <f t="shared" si="0"/>
        <v>22108300</v>
      </c>
      <c r="G37">
        <f t="shared" si="1"/>
        <v>8735097.5501285009</v>
      </c>
    </row>
    <row r="38" spans="1:7" x14ac:dyDescent="0.5">
      <c r="A38" t="s">
        <v>83</v>
      </c>
      <c r="B38">
        <v>124</v>
      </c>
      <c r="C38" t="s">
        <v>84</v>
      </c>
      <c r="D38">
        <v>929226.34</v>
      </c>
      <c r="E38">
        <v>0.48469387800000002</v>
      </c>
      <c r="F38">
        <f t="shared" si="0"/>
        <v>929226340</v>
      </c>
      <c r="G38">
        <f t="shared" si="1"/>
        <v>450390318.27434653</v>
      </c>
    </row>
    <row r="39" spans="1:7" x14ac:dyDescent="0.5">
      <c r="A39" t="s">
        <v>107</v>
      </c>
      <c r="B39">
        <v>132</v>
      </c>
      <c r="C39" t="s">
        <v>108</v>
      </c>
      <c r="D39">
        <v>50.76</v>
      </c>
      <c r="E39">
        <v>0.361643836</v>
      </c>
      <c r="F39">
        <f t="shared" si="0"/>
        <v>50760</v>
      </c>
      <c r="G39">
        <f t="shared" si="1"/>
        <v>18357.04111536</v>
      </c>
    </row>
    <row r="40" spans="1:7" x14ac:dyDescent="0.5">
      <c r="A40" t="s">
        <v>117</v>
      </c>
      <c r="B40">
        <v>136</v>
      </c>
      <c r="C40" t="s">
        <v>118</v>
      </c>
      <c r="D40">
        <v>2275.21</v>
      </c>
      <c r="E40">
        <v>0.4</v>
      </c>
      <c r="F40">
        <f t="shared" si="0"/>
        <v>2275210</v>
      </c>
      <c r="G40">
        <f t="shared" si="1"/>
        <v>910084</v>
      </c>
    </row>
    <row r="41" spans="1:7" x14ac:dyDescent="0.5">
      <c r="A41" t="s">
        <v>81</v>
      </c>
      <c r="B41">
        <v>140</v>
      </c>
      <c r="C41" t="s">
        <v>82</v>
      </c>
      <c r="D41">
        <v>593.94000000000005</v>
      </c>
      <c r="E41">
        <v>0.36796116499999998</v>
      </c>
      <c r="F41">
        <f t="shared" si="0"/>
        <v>593940</v>
      </c>
      <c r="G41">
        <f t="shared" si="1"/>
        <v>218546.85434009999</v>
      </c>
    </row>
    <row r="42" spans="1:7" x14ac:dyDescent="0.5">
      <c r="A42" t="s">
        <v>265</v>
      </c>
      <c r="B42">
        <v>144</v>
      </c>
      <c r="C42" t="s">
        <v>266</v>
      </c>
      <c r="D42">
        <v>69525.31</v>
      </c>
      <c r="E42">
        <v>0.30576441100000001</v>
      </c>
      <c r="F42">
        <f t="shared" si="0"/>
        <v>69525310</v>
      </c>
      <c r="G42">
        <f t="shared" si="1"/>
        <v>21258365.461742412</v>
      </c>
    </row>
    <row r="43" spans="1:7" x14ac:dyDescent="0.5">
      <c r="A43" t="s">
        <v>437</v>
      </c>
      <c r="B43">
        <v>148</v>
      </c>
      <c r="C43" t="s">
        <v>438</v>
      </c>
      <c r="D43">
        <v>137.38999999999999</v>
      </c>
      <c r="E43">
        <v>0.38651685400000002</v>
      </c>
      <c r="F43">
        <f t="shared" si="0"/>
        <v>137390</v>
      </c>
      <c r="G43">
        <f t="shared" si="1"/>
        <v>53103.550571060005</v>
      </c>
    </row>
    <row r="44" spans="1:7" x14ac:dyDescent="0.5">
      <c r="A44" t="s">
        <v>89</v>
      </c>
      <c r="B44">
        <v>152</v>
      </c>
      <c r="C44" t="s">
        <v>90</v>
      </c>
      <c r="D44">
        <v>10898385.48</v>
      </c>
      <c r="E44">
        <v>0.45156591400000001</v>
      </c>
      <c r="F44">
        <f t="shared" si="0"/>
        <v>10898385480</v>
      </c>
      <c r="G44">
        <f t="shared" si="1"/>
        <v>4921339400.4005289</v>
      </c>
    </row>
    <row r="45" spans="1:7" x14ac:dyDescent="0.5">
      <c r="A45" t="s">
        <v>91</v>
      </c>
      <c r="B45">
        <v>156</v>
      </c>
      <c r="C45" t="s">
        <v>92</v>
      </c>
      <c r="D45">
        <v>150703356.40000001</v>
      </c>
      <c r="E45">
        <v>0.372277672</v>
      </c>
      <c r="F45">
        <f t="shared" si="0"/>
        <v>150703356400</v>
      </c>
      <c r="G45">
        <f t="shared" si="1"/>
        <v>56103494683.178299</v>
      </c>
    </row>
    <row r="46" spans="1:7" x14ac:dyDescent="0.5">
      <c r="A46" t="s">
        <v>461</v>
      </c>
      <c r="B46">
        <v>158</v>
      </c>
      <c r="C46" t="s">
        <v>462</v>
      </c>
      <c r="D46">
        <v>1127231.8999999999</v>
      </c>
      <c r="E46">
        <v>0.55670103100000001</v>
      </c>
      <c r="F46">
        <f t="shared" si="0"/>
        <v>1127231900</v>
      </c>
      <c r="G46">
        <f t="shared" si="1"/>
        <v>627531160.90608895</v>
      </c>
    </row>
    <row r="47" spans="1:7" x14ac:dyDescent="0.5">
      <c r="A47" t="s">
        <v>115</v>
      </c>
      <c r="B47">
        <v>162</v>
      </c>
      <c r="C47" t="s">
        <v>116</v>
      </c>
    </row>
    <row r="48" spans="1:7" x14ac:dyDescent="0.5">
      <c r="A48" t="s">
        <v>85</v>
      </c>
      <c r="B48">
        <v>166</v>
      </c>
      <c r="C48" t="s">
        <v>86</v>
      </c>
    </row>
    <row r="49" spans="1:7" x14ac:dyDescent="0.5">
      <c r="A49" t="s">
        <v>103</v>
      </c>
      <c r="B49">
        <v>170</v>
      </c>
      <c r="C49" t="s">
        <v>104</v>
      </c>
      <c r="D49">
        <v>479598.92</v>
      </c>
      <c r="E49">
        <v>0.39291465399999997</v>
      </c>
      <c r="F49">
        <f t="shared" si="0"/>
        <v>479598920</v>
      </c>
      <c r="G49">
        <f t="shared" si="1"/>
        <v>188441443.71057367</v>
      </c>
    </row>
    <row r="50" spans="1:7" x14ac:dyDescent="0.5">
      <c r="A50" t="s">
        <v>105</v>
      </c>
      <c r="B50">
        <v>174</v>
      </c>
      <c r="C50" t="s">
        <v>106</v>
      </c>
      <c r="D50">
        <v>0</v>
      </c>
      <c r="E50">
        <v>0.43187772899999999</v>
      </c>
      <c r="F50">
        <f t="shared" si="0"/>
        <v>0</v>
      </c>
      <c r="G50">
        <f t="shared" si="1"/>
        <v>0</v>
      </c>
    </row>
    <row r="51" spans="1:7" x14ac:dyDescent="0.5">
      <c r="A51" t="s">
        <v>321</v>
      </c>
      <c r="B51">
        <v>175</v>
      </c>
      <c r="C51" t="s">
        <v>322</v>
      </c>
      <c r="D51">
        <v>117.55</v>
      </c>
      <c r="E51">
        <v>0.43187772899999999</v>
      </c>
      <c r="F51">
        <f t="shared" si="0"/>
        <v>117550</v>
      </c>
      <c r="G51">
        <f t="shared" si="1"/>
        <v>50767.227043949999</v>
      </c>
    </row>
    <row r="52" spans="1:7" x14ac:dyDescent="0.5">
      <c r="A52" t="s">
        <v>99</v>
      </c>
      <c r="B52">
        <v>178</v>
      </c>
      <c r="C52" t="s">
        <v>100</v>
      </c>
      <c r="D52">
        <v>1827.5</v>
      </c>
      <c r="E52">
        <v>0.36796116499999998</v>
      </c>
      <c r="F52">
        <f t="shared" si="0"/>
        <v>1827500</v>
      </c>
      <c r="G52">
        <f t="shared" si="1"/>
        <v>672449.02903749992</v>
      </c>
    </row>
    <row r="53" spans="1:7" x14ac:dyDescent="0.5">
      <c r="A53" t="s">
        <v>97</v>
      </c>
      <c r="B53">
        <v>180</v>
      </c>
      <c r="C53" t="s">
        <v>98</v>
      </c>
      <c r="D53">
        <v>15060</v>
      </c>
      <c r="E53">
        <v>0.36796116499999998</v>
      </c>
      <c r="F53">
        <f t="shared" si="0"/>
        <v>15060000</v>
      </c>
      <c r="G53">
        <f t="shared" si="1"/>
        <v>5541495.1448999997</v>
      </c>
    </row>
    <row r="54" spans="1:7" x14ac:dyDescent="0.5">
      <c r="A54" t="s">
        <v>101</v>
      </c>
      <c r="B54">
        <v>184</v>
      </c>
      <c r="C54" t="s">
        <v>102</v>
      </c>
      <c r="D54">
        <v>27.5</v>
      </c>
      <c r="E54">
        <v>0.58782608700000005</v>
      </c>
      <c r="F54">
        <f t="shared" si="0"/>
        <v>27500</v>
      </c>
      <c r="G54">
        <f t="shared" si="1"/>
        <v>16165.217392500001</v>
      </c>
    </row>
    <row r="55" spans="1:7" x14ac:dyDescent="0.5">
      <c r="A55" t="s">
        <v>109</v>
      </c>
      <c r="B55">
        <v>188</v>
      </c>
      <c r="C55" t="s">
        <v>110</v>
      </c>
      <c r="D55">
        <v>52397.62</v>
      </c>
      <c r="E55">
        <v>0.472485769</v>
      </c>
      <c r="F55">
        <f t="shared" si="0"/>
        <v>52397620</v>
      </c>
      <c r="G55">
        <f t="shared" si="1"/>
        <v>24757129.779469781</v>
      </c>
    </row>
    <row r="56" spans="1:7" x14ac:dyDescent="0.5">
      <c r="A56" t="s">
        <v>203</v>
      </c>
      <c r="B56">
        <v>191</v>
      </c>
      <c r="C56" t="s">
        <v>204</v>
      </c>
      <c r="D56">
        <v>135700.54</v>
      </c>
      <c r="E56">
        <v>0.43878787899999999</v>
      </c>
      <c r="F56">
        <f t="shared" si="0"/>
        <v>135700540</v>
      </c>
      <c r="G56">
        <f t="shared" si="1"/>
        <v>59543752.125754662</v>
      </c>
    </row>
    <row r="57" spans="1:7" x14ac:dyDescent="0.5">
      <c r="A57" t="s">
        <v>111</v>
      </c>
      <c r="B57">
        <v>192</v>
      </c>
      <c r="C57" t="s">
        <v>112</v>
      </c>
      <c r="D57">
        <v>43564.2</v>
      </c>
      <c r="E57">
        <v>0.4</v>
      </c>
      <c r="F57">
        <f t="shared" si="0"/>
        <v>43564200</v>
      </c>
      <c r="G57">
        <f t="shared" si="1"/>
        <v>17425680</v>
      </c>
    </row>
    <row r="58" spans="1:7" x14ac:dyDescent="0.5">
      <c r="A58" t="s">
        <v>119</v>
      </c>
      <c r="B58">
        <v>196</v>
      </c>
      <c r="C58" t="s">
        <v>120</v>
      </c>
      <c r="D58">
        <v>48979.7</v>
      </c>
      <c r="E58">
        <v>0.49224806199999999</v>
      </c>
      <c r="F58">
        <f t="shared" si="0"/>
        <v>48979700</v>
      </c>
      <c r="G58">
        <f t="shared" si="1"/>
        <v>24110162.402341399</v>
      </c>
    </row>
    <row r="59" spans="1:7" x14ac:dyDescent="0.5">
      <c r="A59" t="s">
        <v>121</v>
      </c>
      <c r="B59">
        <v>203</v>
      </c>
      <c r="C59" t="s">
        <v>122</v>
      </c>
      <c r="D59">
        <v>46851.42</v>
      </c>
      <c r="E59">
        <v>0.58706467699999998</v>
      </c>
      <c r="F59">
        <f t="shared" si="0"/>
        <v>46851420</v>
      </c>
      <c r="G59">
        <f t="shared" si="1"/>
        <v>27504813.749291338</v>
      </c>
    </row>
    <row r="60" spans="1:7" x14ac:dyDescent="0.5">
      <c r="A60" t="s">
        <v>43</v>
      </c>
      <c r="B60">
        <v>204</v>
      </c>
      <c r="C60" t="s">
        <v>44</v>
      </c>
      <c r="D60">
        <v>13462.69</v>
      </c>
      <c r="E60">
        <v>0.30746268700000001</v>
      </c>
      <c r="F60">
        <f t="shared" si="0"/>
        <v>13462690</v>
      </c>
      <c r="G60">
        <f t="shared" si="1"/>
        <v>4139274.8416480301</v>
      </c>
    </row>
    <row r="61" spans="1:7" x14ac:dyDescent="0.5">
      <c r="A61" t="s">
        <v>129</v>
      </c>
      <c r="B61">
        <v>208</v>
      </c>
      <c r="C61" t="s">
        <v>130</v>
      </c>
      <c r="D61">
        <v>144541.93</v>
      </c>
      <c r="E61">
        <v>0.53284671500000003</v>
      </c>
      <c r="F61">
        <f t="shared" si="0"/>
        <v>144541930</v>
      </c>
      <c r="G61">
        <f t="shared" si="1"/>
        <v>77018692.580259949</v>
      </c>
    </row>
    <row r="62" spans="1:7" x14ac:dyDescent="0.5">
      <c r="A62" t="s">
        <v>127</v>
      </c>
      <c r="B62">
        <v>212</v>
      </c>
      <c r="C62" t="s">
        <v>128</v>
      </c>
      <c r="D62">
        <v>0</v>
      </c>
      <c r="E62">
        <v>0.4</v>
      </c>
      <c r="F62">
        <f t="shared" si="0"/>
        <v>0</v>
      </c>
      <c r="G62">
        <f t="shared" si="1"/>
        <v>0</v>
      </c>
    </row>
    <row r="63" spans="1:7" x14ac:dyDescent="0.5">
      <c r="A63" t="s">
        <v>131</v>
      </c>
      <c r="B63">
        <v>214</v>
      </c>
      <c r="C63" t="s">
        <v>132</v>
      </c>
      <c r="D63">
        <v>9638.39</v>
      </c>
      <c r="E63">
        <v>0.329516539</v>
      </c>
      <c r="F63">
        <f t="shared" si="0"/>
        <v>9638390</v>
      </c>
      <c r="G63">
        <f t="shared" si="1"/>
        <v>3176008.9143322101</v>
      </c>
    </row>
    <row r="64" spans="1:7" x14ac:dyDescent="0.5">
      <c r="A64" t="s">
        <v>135</v>
      </c>
      <c r="B64">
        <v>218</v>
      </c>
      <c r="C64" t="s">
        <v>136</v>
      </c>
      <c r="D64">
        <v>2601607.25</v>
      </c>
      <c r="E64">
        <v>0.412087912</v>
      </c>
      <c r="F64">
        <f t="shared" si="0"/>
        <v>2601607250</v>
      </c>
      <c r="G64">
        <f t="shared" si="1"/>
        <v>1072090899.496562</v>
      </c>
    </row>
    <row r="65" spans="1:7" x14ac:dyDescent="0.5">
      <c r="A65" t="s">
        <v>405</v>
      </c>
      <c r="B65">
        <v>222</v>
      </c>
      <c r="C65" t="s">
        <v>406</v>
      </c>
      <c r="D65">
        <v>24634.55</v>
      </c>
      <c r="E65">
        <v>0.36724960299999998</v>
      </c>
      <c r="F65">
        <f t="shared" si="0"/>
        <v>24634550</v>
      </c>
      <c r="G65">
        <f t="shared" si="1"/>
        <v>9047028.7075836491</v>
      </c>
    </row>
    <row r="66" spans="1:7" x14ac:dyDescent="0.5">
      <c r="A66" t="s">
        <v>181</v>
      </c>
      <c r="B66">
        <v>226</v>
      </c>
      <c r="C66" t="s">
        <v>182</v>
      </c>
      <c r="D66">
        <v>59.73</v>
      </c>
      <c r="E66">
        <v>0.36796116499999998</v>
      </c>
      <c r="F66">
        <f t="shared" ref="F66:F129" si="2">1000*D66</f>
        <v>59730</v>
      </c>
      <c r="G66">
        <f t="shared" ref="G66:G129" si="3">F66*E66</f>
        <v>21978.320385449999</v>
      </c>
    </row>
    <row r="67" spans="1:7" x14ac:dyDescent="0.5">
      <c r="A67" t="s">
        <v>147</v>
      </c>
      <c r="B67">
        <v>231</v>
      </c>
      <c r="C67" t="s">
        <v>148</v>
      </c>
      <c r="D67">
        <v>674.06</v>
      </c>
      <c r="E67">
        <v>0.30799605099999999</v>
      </c>
      <c r="F67">
        <f t="shared" si="2"/>
        <v>674060</v>
      </c>
      <c r="G67">
        <f t="shared" si="3"/>
        <v>207607.81813706001</v>
      </c>
    </row>
    <row r="68" spans="1:7" x14ac:dyDescent="0.5">
      <c r="A68" t="s">
        <v>139</v>
      </c>
      <c r="B68">
        <v>232</v>
      </c>
      <c r="C68" t="s">
        <v>140</v>
      </c>
      <c r="D68">
        <v>12</v>
      </c>
      <c r="E68">
        <v>0.43187772899999999</v>
      </c>
      <c r="F68">
        <f t="shared" si="2"/>
        <v>12000</v>
      </c>
      <c r="G68">
        <f t="shared" si="3"/>
        <v>5182.5327479999996</v>
      </c>
    </row>
    <row r="69" spans="1:7" x14ac:dyDescent="0.5">
      <c r="A69" t="s">
        <v>145</v>
      </c>
      <c r="B69">
        <v>233</v>
      </c>
      <c r="C69" t="s">
        <v>146</v>
      </c>
      <c r="D69">
        <v>4196.96</v>
      </c>
      <c r="E69">
        <v>0.532407407</v>
      </c>
      <c r="F69">
        <f t="shared" si="2"/>
        <v>4196960</v>
      </c>
      <c r="G69">
        <f t="shared" si="3"/>
        <v>2234492.59088272</v>
      </c>
    </row>
    <row r="70" spans="1:7" x14ac:dyDescent="0.5">
      <c r="A70" t="s">
        <v>157</v>
      </c>
      <c r="B70">
        <v>234</v>
      </c>
      <c r="C70" t="s">
        <v>158</v>
      </c>
      <c r="D70">
        <v>569762.41</v>
      </c>
      <c r="E70">
        <v>0.45245901599999999</v>
      </c>
      <c r="F70">
        <f t="shared" si="2"/>
        <v>569762410</v>
      </c>
      <c r="G70">
        <f t="shared" si="3"/>
        <v>257794139.38238856</v>
      </c>
    </row>
    <row r="71" spans="1:7" x14ac:dyDescent="0.5">
      <c r="A71" t="s">
        <v>153</v>
      </c>
      <c r="B71">
        <v>238</v>
      </c>
      <c r="C71" t="s">
        <v>154</v>
      </c>
      <c r="D71">
        <v>0</v>
      </c>
      <c r="E71">
        <v>0.51005586599999997</v>
      </c>
      <c r="F71">
        <f t="shared" si="2"/>
        <v>0</v>
      </c>
      <c r="G71">
        <f t="shared" si="3"/>
        <v>0</v>
      </c>
    </row>
    <row r="72" spans="1:7" x14ac:dyDescent="0.5">
      <c r="A72" t="s">
        <v>395</v>
      </c>
      <c r="B72">
        <v>239</v>
      </c>
      <c r="C72" t="s">
        <v>396</v>
      </c>
    </row>
    <row r="73" spans="1:7" x14ac:dyDescent="0.5">
      <c r="A73" t="s">
        <v>151</v>
      </c>
      <c r="B73">
        <v>242</v>
      </c>
      <c r="C73" t="s">
        <v>152</v>
      </c>
      <c r="D73">
        <v>1076.18</v>
      </c>
      <c r="E73">
        <v>0.58782608700000005</v>
      </c>
      <c r="F73">
        <f t="shared" si="2"/>
        <v>1076180</v>
      </c>
      <c r="G73">
        <f t="shared" si="3"/>
        <v>632606.67830766004</v>
      </c>
    </row>
    <row r="74" spans="1:7" x14ac:dyDescent="0.5">
      <c r="A74" t="s">
        <v>149</v>
      </c>
      <c r="B74">
        <v>246</v>
      </c>
      <c r="C74" t="s">
        <v>150</v>
      </c>
      <c r="D74">
        <v>69998.58</v>
      </c>
      <c r="E74">
        <v>0.39006211200000002</v>
      </c>
      <c r="F74">
        <f t="shared" si="2"/>
        <v>69998580</v>
      </c>
      <c r="G74">
        <f t="shared" si="3"/>
        <v>27303793.951800961</v>
      </c>
    </row>
    <row r="75" spans="1:7" x14ac:dyDescent="0.5">
      <c r="A75" t="s">
        <v>13</v>
      </c>
      <c r="B75">
        <v>248</v>
      </c>
      <c r="C75" t="s">
        <v>14</v>
      </c>
    </row>
    <row r="76" spans="1:7" x14ac:dyDescent="0.5">
      <c r="A76" t="s">
        <v>155</v>
      </c>
      <c r="B76">
        <v>250</v>
      </c>
      <c r="C76" t="s">
        <v>156</v>
      </c>
      <c r="D76">
        <v>848537.58</v>
      </c>
      <c r="E76">
        <v>0.67255434800000002</v>
      </c>
      <c r="F76">
        <f t="shared" si="2"/>
        <v>848537580</v>
      </c>
      <c r="G76">
        <f t="shared" si="3"/>
        <v>570687638.87039781</v>
      </c>
    </row>
    <row r="77" spans="1:7" x14ac:dyDescent="0.5">
      <c r="A77" t="s">
        <v>191</v>
      </c>
      <c r="B77">
        <v>254</v>
      </c>
      <c r="C77" t="s">
        <v>192</v>
      </c>
      <c r="D77">
        <v>16.420000000000002</v>
      </c>
      <c r="E77">
        <v>0.51005586599999997</v>
      </c>
      <c r="F77">
        <f t="shared" si="2"/>
        <v>16420</v>
      </c>
      <c r="G77">
        <f t="shared" si="3"/>
        <v>8375.1173197199987</v>
      </c>
    </row>
    <row r="78" spans="1:7" x14ac:dyDescent="0.5">
      <c r="A78" t="s">
        <v>375</v>
      </c>
      <c r="B78">
        <v>258</v>
      </c>
      <c r="C78" t="s">
        <v>376</v>
      </c>
      <c r="D78">
        <v>2920.71</v>
      </c>
      <c r="E78">
        <v>0.58782608700000005</v>
      </c>
      <c r="F78">
        <f t="shared" si="2"/>
        <v>2920710</v>
      </c>
      <c r="G78">
        <f t="shared" si="3"/>
        <v>1716869.5305617701</v>
      </c>
    </row>
    <row r="79" spans="1:7" x14ac:dyDescent="0.5">
      <c r="A79" t="s">
        <v>29</v>
      </c>
      <c r="B79">
        <v>260</v>
      </c>
      <c r="C79" t="s">
        <v>30</v>
      </c>
      <c r="D79">
        <v>0</v>
      </c>
      <c r="E79">
        <v>0.58782608700000005</v>
      </c>
      <c r="F79">
        <f t="shared" si="2"/>
        <v>0</v>
      </c>
      <c r="G79">
        <f t="shared" si="3"/>
        <v>0</v>
      </c>
    </row>
    <row r="80" spans="1:7" x14ac:dyDescent="0.5">
      <c r="A80" t="s">
        <v>125</v>
      </c>
      <c r="B80">
        <v>262</v>
      </c>
      <c r="C80" t="s">
        <v>126</v>
      </c>
      <c r="D80">
        <v>0</v>
      </c>
      <c r="E80">
        <v>0.43187772899999999</v>
      </c>
      <c r="F80">
        <f t="shared" si="2"/>
        <v>0</v>
      </c>
      <c r="G80">
        <f t="shared" si="3"/>
        <v>0</v>
      </c>
    </row>
    <row r="81" spans="1:7" x14ac:dyDescent="0.5">
      <c r="A81" t="s">
        <v>161</v>
      </c>
      <c r="B81">
        <v>266</v>
      </c>
      <c r="C81" t="s">
        <v>162</v>
      </c>
      <c r="D81">
        <v>211.63</v>
      </c>
      <c r="E81">
        <v>0.36796116499999998</v>
      </c>
      <c r="F81">
        <f t="shared" si="2"/>
        <v>211630</v>
      </c>
      <c r="G81">
        <f t="shared" si="3"/>
        <v>77871.621348949993</v>
      </c>
    </row>
    <row r="82" spans="1:7" x14ac:dyDescent="0.5">
      <c r="A82" t="s">
        <v>165</v>
      </c>
      <c r="B82">
        <v>268</v>
      </c>
      <c r="C82" t="s">
        <v>166</v>
      </c>
      <c r="D82">
        <v>7636.73</v>
      </c>
      <c r="E82">
        <v>0.43250688700000001</v>
      </c>
      <c r="F82">
        <f t="shared" si="2"/>
        <v>7636730</v>
      </c>
      <c r="G82">
        <f t="shared" si="3"/>
        <v>3302938.3191595101</v>
      </c>
    </row>
    <row r="83" spans="1:7" x14ac:dyDescent="0.5">
      <c r="A83" t="s">
        <v>177</v>
      </c>
      <c r="B83">
        <v>270</v>
      </c>
      <c r="C83" t="s">
        <v>178</v>
      </c>
      <c r="D83">
        <v>35</v>
      </c>
      <c r="E83">
        <v>0.361643836</v>
      </c>
      <c r="F83">
        <f t="shared" si="2"/>
        <v>35000</v>
      </c>
      <c r="G83">
        <f t="shared" si="3"/>
        <v>12657.53426</v>
      </c>
    </row>
    <row r="84" spans="1:7" x14ac:dyDescent="0.5">
      <c r="A84" t="s">
        <v>373</v>
      </c>
      <c r="B84">
        <v>275</v>
      </c>
      <c r="C84" t="s">
        <v>374</v>
      </c>
      <c r="D84">
        <v>6565.5</v>
      </c>
      <c r="E84">
        <v>0.45126353800000002</v>
      </c>
      <c r="F84">
        <f t="shared" si="2"/>
        <v>6565500</v>
      </c>
      <c r="G84">
        <f t="shared" si="3"/>
        <v>2962770.7587390002</v>
      </c>
    </row>
    <row r="85" spans="1:7" x14ac:dyDescent="0.5">
      <c r="A85" t="s">
        <v>123</v>
      </c>
      <c r="B85">
        <v>276</v>
      </c>
      <c r="C85" t="s">
        <v>124</v>
      </c>
      <c r="D85">
        <v>138748.42000000001</v>
      </c>
      <c r="E85">
        <v>0.45624999999999999</v>
      </c>
      <c r="F85">
        <f t="shared" si="2"/>
        <v>138748420</v>
      </c>
      <c r="G85">
        <f t="shared" si="3"/>
        <v>63303966.625</v>
      </c>
    </row>
    <row r="86" spans="1:7" x14ac:dyDescent="0.5">
      <c r="A86" t="s">
        <v>169</v>
      </c>
      <c r="B86">
        <v>288</v>
      </c>
      <c r="C86" t="s">
        <v>170</v>
      </c>
      <c r="D86">
        <v>189705.85</v>
      </c>
      <c r="E86">
        <v>0.36851520599999998</v>
      </c>
      <c r="F86">
        <f t="shared" si="2"/>
        <v>189705850</v>
      </c>
      <c r="G86">
        <f t="shared" si="3"/>
        <v>69909490.392155096</v>
      </c>
    </row>
    <row r="87" spans="1:7" x14ac:dyDescent="0.5">
      <c r="A87" t="s">
        <v>171</v>
      </c>
      <c r="B87">
        <v>292</v>
      </c>
      <c r="C87" t="s">
        <v>172</v>
      </c>
      <c r="D87">
        <v>0</v>
      </c>
      <c r="E87">
        <v>0.45245901599999999</v>
      </c>
      <c r="F87">
        <f t="shared" si="2"/>
        <v>0</v>
      </c>
      <c r="G87">
        <f t="shared" si="3"/>
        <v>0</v>
      </c>
    </row>
    <row r="88" spans="1:7" x14ac:dyDescent="0.5">
      <c r="A88" t="s">
        <v>245</v>
      </c>
      <c r="B88">
        <v>296</v>
      </c>
      <c r="C88" t="s">
        <v>246</v>
      </c>
      <c r="D88">
        <v>4.17</v>
      </c>
      <c r="E88">
        <v>0.58782608700000005</v>
      </c>
      <c r="F88">
        <f t="shared" si="2"/>
        <v>4170</v>
      </c>
      <c r="G88">
        <f t="shared" si="3"/>
        <v>2451.2347827900003</v>
      </c>
    </row>
    <row r="89" spans="1:7" x14ac:dyDescent="0.5">
      <c r="A89" t="s">
        <v>183</v>
      </c>
      <c r="B89">
        <v>300</v>
      </c>
      <c r="C89" t="s">
        <v>184</v>
      </c>
      <c r="D89">
        <v>571065.78</v>
      </c>
      <c r="E89">
        <v>0.37632135300000003</v>
      </c>
      <c r="F89">
        <f t="shared" si="2"/>
        <v>571065780</v>
      </c>
      <c r="G89">
        <f t="shared" si="3"/>
        <v>214904246.98160034</v>
      </c>
    </row>
    <row r="90" spans="1:7" x14ac:dyDescent="0.5">
      <c r="A90" t="s">
        <v>187</v>
      </c>
      <c r="B90">
        <v>304</v>
      </c>
      <c r="C90" t="s">
        <v>188</v>
      </c>
      <c r="D90">
        <v>0</v>
      </c>
      <c r="E90">
        <v>0.45245901599999999</v>
      </c>
      <c r="F90">
        <f t="shared" si="2"/>
        <v>0</v>
      </c>
      <c r="G90">
        <f t="shared" si="3"/>
        <v>0</v>
      </c>
    </row>
    <row r="91" spans="1:7" x14ac:dyDescent="0.5">
      <c r="A91" t="s">
        <v>185</v>
      </c>
      <c r="B91">
        <v>308</v>
      </c>
      <c r="C91" t="s">
        <v>186</v>
      </c>
      <c r="D91">
        <v>4.63</v>
      </c>
      <c r="E91">
        <v>0.4</v>
      </c>
      <c r="F91">
        <f t="shared" si="2"/>
        <v>4630</v>
      </c>
      <c r="G91">
        <f t="shared" si="3"/>
        <v>1852</v>
      </c>
    </row>
    <row r="92" spans="1:7" x14ac:dyDescent="0.5">
      <c r="A92" t="s">
        <v>175</v>
      </c>
      <c r="B92">
        <v>312</v>
      </c>
      <c r="C92" t="s">
        <v>176</v>
      </c>
      <c r="D92">
        <v>261.95</v>
      </c>
      <c r="E92">
        <v>0.4</v>
      </c>
      <c r="F92">
        <f t="shared" si="2"/>
        <v>261950</v>
      </c>
      <c r="G92">
        <f t="shared" si="3"/>
        <v>104780</v>
      </c>
    </row>
    <row r="93" spans="1:7" x14ac:dyDescent="0.5">
      <c r="A93" t="s">
        <v>193</v>
      </c>
      <c r="B93">
        <v>316</v>
      </c>
      <c r="C93" t="s">
        <v>194</v>
      </c>
      <c r="D93">
        <v>872.25</v>
      </c>
      <c r="E93">
        <v>0.58782608700000005</v>
      </c>
      <c r="F93">
        <f t="shared" si="2"/>
        <v>872250</v>
      </c>
      <c r="G93">
        <f t="shared" si="3"/>
        <v>512731.30438575003</v>
      </c>
    </row>
    <row r="94" spans="1:7" x14ac:dyDescent="0.5">
      <c r="A94" t="s">
        <v>189</v>
      </c>
      <c r="B94">
        <v>320</v>
      </c>
      <c r="C94" t="s">
        <v>190</v>
      </c>
      <c r="D94">
        <v>151165.5</v>
      </c>
      <c r="E94">
        <v>0.42841765300000001</v>
      </c>
      <c r="F94">
        <f t="shared" si="2"/>
        <v>151165500</v>
      </c>
      <c r="G94">
        <f t="shared" si="3"/>
        <v>64761968.724571504</v>
      </c>
    </row>
    <row r="95" spans="1:7" x14ac:dyDescent="0.5">
      <c r="A95" t="s">
        <v>173</v>
      </c>
      <c r="B95">
        <v>324</v>
      </c>
      <c r="C95" t="s">
        <v>174</v>
      </c>
      <c r="D95">
        <v>2937.45</v>
      </c>
      <c r="E95">
        <v>0.36548223400000002</v>
      </c>
      <c r="F95">
        <f t="shared" si="2"/>
        <v>2937450</v>
      </c>
      <c r="G95">
        <f t="shared" si="3"/>
        <v>1073585.7882633</v>
      </c>
    </row>
    <row r="96" spans="1:7" x14ac:dyDescent="0.5">
      <c r="A96" t="s">
        <v>195</v>
      </c>
      <c r="B96">
        <v>328</v>
      </c>
      <c r="C96" t="s">
        <v>196</v>
      </c>
      <c r="D96">
        <v>1650.67</v>
      </c>
      <c r="E96">
        <v>0.51005586599999997</v>
      </c>
      <c r="F96">
        <f t="shared" si="2"/>
        <v>1650670</v>
      </c>
      <c r="G96">
        <f t="shared" si="3"/>
        <v>841933.91633021994</v>
      </c>
    </row>
    <row r="97" spans="1:7" x14ac:dyDescent="0.5">
      <c r="A97" t="s">
        <v>205</v>
      </c>
      <c r="B97">
        <v>332</v>
      </c>
      <c r="C97" t="s">
        <v>206</v>
      </c>
      <c r="D97">
        <v>3077.5</v>
      </c>
      <c r="E97">
        <v>0.4</v>
      </c>
      <c r="F97">
        <f t="shared" si="2"/>
        <v>3077500</v>
      </c>
      <c r="G97">
        <f t="shared" si="3"/>
        <v>1231000</v>
      </c>
    </row>
    <row r="98" spans="1:7" x14ac:dyDescent="0.5">
      <c r="A98" t="s">
        <v>199</v>
      </c>
      <c r="B98">
        <v>334</v>
      </c>
      <c r="C98" t="s">
        <v>200</v>
      </c>
    </row>
    <row r="99" spans="1:7" x14ac:dyDescent="0.5">
      <c r="A99" t="s">
        <v>477</v>
      </c>
      <c r="B99">
        <v>336</v>
      </c>
      <c r="C99" t="s">
        <v>478</v>
      </c>
    </row>
    <row r="100" spans="1:7" x14ac:dyDescent="0.5">
      <c r="A100" t="s">
        <v>201</v>
      </c>
      <c r="B100">
        <v>340</v>
      </c>
      <c r="C100" t="s">
        <v>202</v>
      </c>
      <c r="D100">
        <v>277494</v>
      </c>
      <c r="E100">
        <v>0.57825567499999997</v>
      </c>
      <c r="F100">
        <f t="shared" si="2"/>
        <v>277494000</v>
      </c>
      <c r="G100">
        <f t="shared" si="3"/>
        <v>160462480.27844998</v>
      </c>
    </row>
    <row r="101" spans="1:7" x14ac:dyDescent="0.5">
      <c r="A101" t="s">
        <v>197</v>
      </c>
      <c r="B101">
        <v>344</v>
      </c>
      <c r="C101" t="s">
        <v>198</v>
      </c>
      <c r="D101">
        <v>17945.919999999998</v>
      </c>
      <c r="E101">
        <v>0.40268817200000001</v>
      </c>
      <c r="F101">
        <f t="shared" si="2"/>
        <v>17945920</v>
      </c>
      <c r="G101">
        <f t="shared" si="3"/>
        <v>7226609.7196582397</v>
      </c>
    </row>
    <row r="102" spans="1:7" x14ac:dyDescent="0.5">
      <c r="A102" t="s">
        <v>207</v>
      </c>
      <c r="B102">
        <v>348</v>
      </c>
      <c r="C102" t="s">
        <v>208</v>
      </c>
      <c r="D102">
        <v>40359.75</v>
      </c>
      <c r="E102">
        <v>0.55188679200000001</v>
      </c>
      <c r="F102">
        <f t="shared" si="2"/>
        <v>40359750</v>
      </c>
      <c r="G102">
        <f t="shared" si="3"/>
        <v>22274012.953421999</v>
      </c>
    </row>
    <row r="103" spans="1:7" x14ac:dyDescent="0.5">
      <c r="A103" t="s">
        <v>223</v>
      </c>
      <c r="B103">
        <v>352</v>
      </c>
      <c r="C103" t="s">
        <v>224</v>
      </c>
      <c r="D103">
        <v>193063.67999999999</v>
      </c>
      <c r="E103">
        <v>0.45245901599999999</v>
      </c>
      <c r="F103">
        <f t="shared" si="2"/>
        <v>193063680</v>
      </c>
      <c r="G103">
        <f t="shared" si="3"/>
        <v>87353402.678138882</v>
      </c>
    </row>
    <row r="104" spans="1:7" x14ac:dyDescent="0.5">
      <c r="A104" t="s">
        <v>213</v>
      </c>
      <c r="B104">
        <v>356</v>
      </c>
      <c r="C104" t="s">
        <v>214</v>
      </c>
      <c r="D104">
        <v>14693665.470000001</v>
      </c>
      <c r="E104">
        <v>0.31310695399999999</v>
      </c>
      <c r="F104">
        <f t="shared" si="2"/>
        <v>14693665470</v>
      </c>
      <c r="G104">
        <f t="shared" si="3"/>
        <v>4600688838.4066782</v>
      </c>
    </row>
    <row r="105" spans="1:7" x14ac:dyDescent="0.5">
      <c r="A105" t="s">
        <v>209</v>
      </c>
      <c r="B105">
        <v>360</v>
      </c>
      <c r="C105" t="s">
        <v>210</v>
      </c>
      <c r="D105">
        <v>11225111.84</v>
      </c>
      <c r="E105">
        <v>0.34302959199999999</v>
      </c>
      <c r="F105">
        <f t="shared" si="2"/>
        <v>11225111840</v>
      </c>
      <c r="G105">
        <f t="shared" si="3"/>
        <v>3850545534.6295691</v>
      </c>
    </row>
    <row r="106" spans="1:7" x14ac:dyDescent="0.5">
      <c r="A106" t="s">
        <v>219</v>
      </c>
      <c r="B106">
        <v>364</v>
      </c>
      <c r="C106" t="s">
        <v>220</v>
      </c>
      <c r="D106">
        <v>1638666.9</v>
      </c>
      <c r="E106">
        <v>0.50961538500000003</v>
      </c>
      <c r="F106">
        <f t="shared" si="2"/>
        <v>1638666900</v>
      </c>
      <c r="G106">
        <f t="shared" si="3"/>
        <v>835089863.13025653</v>
      </c>
    </row>
    <row r="107" spans="1:7" x14ac:dyDescent="0.5">
      <c r="A107" t="s">
        <v>221</v>
      </c>
      <c r="B107">
        <v>368</v>
      </c>
      <c r="C107" t="s">
        <v>222</v>
      </c>
      <c r="D107">
        <v>84801</v>
      </c>
      <c r="E107">
        <v>0.45126353800000002</v>
      </c>
      <c r="F107">
        <f t="shared" si="2"/>
        <v>84801000</v>
      </c>
      <c r="G107">
        <f t="shared" si="3"/>
        <v>38267599.285938002</v>
      </c>
    </row>
    <row r="108" spans="1:7" x14ac:dyDescent="0.5">
      <c r="A108" t="s">
        <v>217</v>
      </c>
      <c r="B108">
        <v>372</v>
      </c>
      <c r="C108" t="s">
        <v>218</v>
      </c>
      <c r="D108">
        <v>190453.34</v>
      </c>
      <c r="E108">
        <v>0.43027888399999997</v>
      </c>
      <c r="F108">
        <f t="shared" si="2"/>
        <v>190453340</v>
      </c>
      <c r="G108">
        <f t="shared" si="3"/>
        <v>81948050.589272559</v>
      </c>
    </row>
    <row r="109" spans="1:7" x14ac:dyDescent="0.5">
      <c r="A109" t="s">
        <v>225</v>
      </c>
      <c r="B109">
        <v>376</v>
      </c>
      <c r="C109" t="s">
        <v>226</v>
      </c>
      <c r="D109">
        <v>92793.51</v>
      </c>
      <c r="E109">
        <v>0.46666666699999998</v>
      </c>
      <c r="F109">
        <f t="shared" si="2"/>
        <v>92793510</v>
      </c>
      <c r="G109">
        <f t="shared" si="3"/>
        <v>43303638.030931167</v>
      </c>
    </row>
    <row r="110" spans="1:7" x14ac:dyDescent="0.5">
      <c r="A110" t="s">
        <v>227</v>
      </c>
      <c r="B110">
        <v>380</v>
      </c>
      <c r="C110" t="s">
        <v>228</v>
      </c>
      <c r="D110">
        <v>488723.43</v>
      </c>
      <c r="E110">
        <v>0.45438066500000002</v>
      </c>
      <c r="F110">
        <f t="shared" si="2"/>
        <v>488723430</v>
      </c>
      <c r="G110">
        <f t="shared" si="3"/>
        <v>222066477.12448096</v>
      </c>
    </row>
    <row r="111" spans="1:7" x14ac:dyDescent="0.5">
      <c r="A111" t="s">
        <v>495</v>
      </c>
      <c r="B111">
        <v>383</v>
      </c>
      <c r="C111" t="s">
        <v>414</v>
      </c>
    </row>
    <row r="112" spans="1:7" x14ac:dyDescent="0.5">
      <c r="A112" t="s">
        <v>93</v>
      </c>
      <c r="B112">
        <v>384</v>
      </c>
      <c r="C112" t="s">
        <v>94</v>
      </c>
      <c r="D112">
        <v>17203.97</v>
      </c>
      <c r="E112">
        <v>0.47228144999999999</v>
      </c>
      <c r="F112">
        <f t="shared" si="2"/>
        <v>17203970</v>
      </c>
      <c r="G112">
        <f t="shared" si="3"/>
        <v>8125115.8973564999</v>
      </c>
    </row>
    <row r="113" spans="1:7" x14ac:dyDescent="0.5">
      <c r="A113" t="s">
        <v>229</v>
      </c>
      <c r="B113">
        <v>388</v>
      </c>
      <c r="C113" t="s">
        <v>230</v>
      </c>
      <c r="D113">
        <v>5381.08</v>
      </c>
      <c r="E113">
        <v>0.39150943399999999</v>
      </c>
      <c r="F113">
        <f t="shared" si="2"/>
        <v>5381080</v>
      </c>
      <c r="G113">
        <f t="shared" si="3"/>
        <v>2106743.5851087198</v>
      </c>
    </row>
    <row r="114" spans="1:7" x14ac:dyDescent="0.5">
      <c r="A114" t="s">
        <v>235</v>
      </c>
      <c r="B114">
        <v>392</v>
      </c>
      <c r="C114" t="s">
        <v>236</v>
      </c>
      <c r="D114">
        <v>3934742.2</v>
      </c>
      <c r="E114">
        <v>0.49989641600000001</v>
      </c>
      <c r="F114">
        <f t="shared" si="2"/>
        <v>3934742200</v>
      </c>
      <c r="G114">
        <f t="shared" si="3"/>
        <v>1966963523.6639552</v>
      </c>
    </row>
    <row r="115" spans="1:7" x14ac:dyDescent="0.5">
      <c r="A115" t="s">
        <v>237</v>
      </c>
      <c r="B115">
        <v>398</v>
      </c>
      <c r="C115" t="s">
        <v>238</v>
      </c>
      <c r="D115">
        <v>9010.0300000000007</v>
      </c>
      <c r="E115">
        <v>0.44541062799999998</v>
      </c>
      <c r="F115">
        <f t="shared" si="2"/>
        <v>9010030</v>
      </c>
      <c r="G115">
        <f t="shared" si="3"/>
        <v>4013163.1205988396</v>
      </c>
    </row>
    <row r="116" spans="1:7" x14ac:dyDescent="0.5">
      <c r="A116" t="s">
        <v>233</v>
      </c>
      <c r="B116">
        <v>400</v>
      </c>
      <c r="C116" t="s">
        <v>234</v>
      </c>
      <c r="D116">
        <v>10109.86</v>
      </c>
      <c r="E116">
        <v>0.45921450200000002</v>
      </c>
      <c r="F116">
        <f t="shared" si="2"/>
        <v>10109860</v>
      </c>
      <c r="G116">
        <f t="shared" si="3"/>
        <v>4642594.3251897199</v>
      </c>
    </row>
    <row r="117" spans="1:7" x14ac:dyDescent="0.5">
      <c r="A117" t="s">
        <v>239</v>
      </c>
      <c r="B117">
        <v>404</v>
      </c>
      <c r="C117" t="s">
        <v>240</v>
      </c>
      <c r="D117">
        <v>66618.429999999993</v>
      </c>
      <c r="E117">
        <v>0.289579158</v>
      </c>
      <c r="F117">
        <f t="shared" si="2"/>
        <v>66618429.999999993</v>
      </c>
      <c r="G117">
        <f t="shared" si="3"/>
        <v>19291308.866681937</v>
      </c>
    </row>
    <row r="118" spans="1:7" x14ac:dyDescent="0.5">
      <c r="A118" t="s">
        <v>367</v>
      </c>
      <c r="B118">
        <v>408</v>
      </c>
      <c r="C118" t="s">
        <v>368</v>
      </c>
      <c r="D118">
        <v>78052.5</v>
      </c>
      <c r="E118">
        <v>0.39726027400000002</v>
      </c>
      <c r="F118">
        <f t="shared" si="2"/>
        <v>78052500</v>
      </c>
      <c r="G118">
        <f t="shared" si="3"/>
        <v>31007157.536385003</v>
      </c>
    </row>
    <row r="119" spans="1:7" x14ac:dyDescent="0.5">
      <c r="A119" t="s">
        <v>249</v>
      </c>
      <c r="B119">
        <v>410</v>
      </c>
      <c r="C119" t="s">
        <v>250</v>
      </c>
      <c r="D119">
        <v>2022065.45</v>
      </c>
      <c r="E119">
        <v>0.52943861299999995</v>
      </c>
      <c r="F119">
        <f t="shared" si="2"/>
        <v>2022065450</v>
      </c>
      <c r="G119">
        <f t="shared" si="3"/>
        <v>1070559527.2432207</v>
      </c>
    </row>
    <row r="120" spans="1:7" x14ac:dyDescent="0.5">
      <c r="A120" t="s">
        <v>251</v>
      </c>
      <c r="B120">
        <v>414</v>
      </c>
      <c r="C120" t="s">
        <v>252</v>
      </c>
      <c r="D120">
        <v>2852.03</v>
      </c>
      <c r="E120">
        <v>0.72499999999999998</v>
      </c>
      <c r="F120">
        <f t="shared" si="2"/>
        <v>2852030</v>
      </c>
      <c r="G120">
        <f t="shared" si="3"/>
        <v>2067721.75</v>
      </c>
    </row>
    <row r="121" spans="1:7" x14ac:dyDescent="0.5">
      <c r="A121" t="s">
        <v>241</v>
      </c>
      <c r="B121">
        <v>417</v>
      </c>
      <c r="C121" t="s">
        <v>242</v>
      </c>
      <c r="D121">
        <v>12696</v>
      </c>
      <c r="E121">
        <v>0.57446808500000002</v>
      </c>
      <c r="F121">
        <f t="shared" si="2"/>
        <v>12696000</v>
      </c>
      <c r="G121">
        <f t="shared" si="3"/>
        <v>7293446.8071600003</v>
      </c>
    </row>
    <row r="122" spans="1:7" x14ac:dyDescent="0.5">
      <c r="A122" t="s">
        <v>253</v>
      </c>
      <c r="B122">
        <v>418</v>
      </c>
      <c r="C122" t="s">
        <v>254</v>
      </c>
      <c r="D122">
        <v>184500</v>
      </c>
      <c r="E122">
        <v>0.32356857500000002</v>
      </c>
      <c r="F122">
        <f t="shared" si="2"/>
        <v>184500000</v>
      </c>
      <c r="G122">
        <f t="shared" si="3"/>
        <v>59698402.087500006</v>
      </c>
    </row>
    <row r="123" spans="1:7" x14ac:dyDescent="0.5">
      <c r="A123" t="s">
        <v>255</v>
      </c>
      <c r="B123">
        <v>422</v>
      </c>
      <c r="C123" t="s">
        <v>256</v>
      </c>
      <c r="D123">
        <v>3376.5</v>
      </c>
      <c r="E123">
        <v>0.45126353800000002</v>
      </c>
      <c r="F123">
        <f t="shared" si="2"/>
        <v>3376500</v>
      </c>
      <c r="G123">
        <f t="shared" si="3"/>
        <v>1523691.3360570001</v>
      </c>
    </row>
    <row r="124" spans="1:7" x14ac:dyDescent="0.5">
      <c r="A124" t="s">
        <v>267</v>
      </c>
      <c r="B124">
        <v>426</v>
      </c>
      <c r="C124" t="s">
        <v>268</v>
      </c>
      <c r="D124">
        <v>24700.959999999999</v>
      </c>
      <c r="E124">
        <v>0.40517241399999998</v>
      </c>
      <c r="F124">
        <f t="shared" si="2"/>
        <v>24700960</v>
      </c>
      <c r="G124">
        <f t="shared" si="3"/>
        <v>10008147.591317439</v>
      </c>
    </row>
    <row r="125" spans="1:7" x14ac:dyDescent="0.5">
      <c r="A125" t="s">
        <v>273</v>
      </c>
      <c r="B125">
        <v>428</v>
      </c>
      <c r="C125" t="s">
        <v>274</v>
      </c>
      <c r="D125">
        <v>1856.37</v>
      </c>
      <c r="E125">
        <v>0.43534883699999999</v>
      </c>
      <c r="F125">
        <f t="shared" si="2"/>
        <v>1856370</v>
      </c>
      <c r="G125">
        <f t="shared" si="3"/>
        <v>808168.52054168994</v>
      </c>
    </row>
    <row r="126" spans="1:7" x14ac:dyDescent="0.5">
      <c r="A126" t="s">
        <v>257</v>
      </c>
      <c r="B126">
        <v>430</v>
      </c>
      <c r="C126" t="s">
        <v>258</v>
      </c>
      <c r="D126">
        <v>1710</v>
      </c>
      <c r="E126">
        <v>0.361643836</v>
      </c>
      <c r="F126">
        <f t="shared" si="2"/>
        <v>1710000</v>
      </c>
      <c r="G126">
        <f t="shared" si="3"/>
        <v>618410.95955999999</v>
      </c>
    </row>
    <row r="127" spans="1:7" x14ac:dyDescent="0.5">
      <c r="A127" t="s">
        <v>259</v>
      </c>
      <c r="B127">
        <v>434</v>
      </c>
      <c r="C127" t="s">
        <v>260</v>
      </c>
      <c r="D127">
        <v>20</v>
      </c>
      <c r="E127">
        <v>0.39790575900000003</v>
      </c>
      <c r="F127">
        <f t="shared" si="2"/>
        <v>20000</v>
      </c>
      <c r="G127">
        <f t="shared" si="3"/>
        <v>7958.1151800000007</v>
      </c>
    </row>
    <row r="128" spans="1:7" x14ac:dyDescent="0.5">
      <c r="A128" t="s">
        <v>263</v>
      </c>
      <c r="B128">
        <v>438</v>
      </c>
      <c r="C128" t="s">
        <v>264</v>
      </c>
      <c r="D128">
        <v>0</v>
      </c>
      <c r="E128">
        <v>0.45245901599999999</v>
      </c>
      <c r="F128">
        <f t="shared" si="2"/>
        <v>0</v>
      </c>
      <c r="G128">
        <f t="shared" si="3"/>
        <v>0</v>
      </c>
    </row>
    <row r="129" spans="1:7" x14ac:dyDescent="0.5">
      <c r="A129" t="s">
        <v>269</v>
      </c>
      <c r="B129">
        <v>440</v>
      </c>
      <c r="C129" t="s">
        <v>270</v>
      </c>
      <c r="D129">
        <v>13970.48</v>
      </c>
      <c r="E129">
        <v>0.74172185400000001</v>
      </c>
      <c r="F129">
        <f t="shared" si="2"/>
        <v>13970480</v>
      </c>
      <c r="G129">
        <f t="shared" si="3"/>
        <v>10362210.32686992</v>
      </c>
    </row>
    <row r="130" spans="1:7" x14ac:dyDescent="0.5">
      <c r="A130" t="s">
        <v>271</v>
      </c>
      <c r="B130">
        <v>442</v>
      </c>
      <c r="C130" t="s">
        <v>272</v>
      </c>
      <c r="D130">
        <v>0</v>
      </c>
      <c r="E130">
        <v>0.43410852700000002</v>
      </c>
      <c r="F130">
        <f t="shared" ref="F130:F193" si="4">1000*D130</f>
        <v>0</v>
      </c>
      <c r="G130">
        <f t="shared" ref="G130:G193" si="5">F130*E130</f>
        <v>0</v>
      </c>
    </row>
    <row r="131" spans="1:7" x14ac:dyDescent="0.5">
      <c r="A131" t="s">
        <v>275</v>
      </c>
      <c r="B131">
        <v>446</v>
      </c>
      <c r="C131" t="s">
        <v>276</v>
      </c>
      <c r="D131">
        <v>0</v>
      </c>
      <c r="E131">
        <v>0.39726027400000002</v>
      </c>
      <c r="F131">
        <f t="shared" si="4"/>
        <v>0</v>
      </c>
      <c r="G131">
        <f t="shared" si="5"/>
        <v>0</v>
      </c>
    </row>
    <row r="132" spans="1:7" x14ac:dyDescent="0.5">
      <c r="A132" t="s">
        <v>285</v>
      </c>
      <c r="B132">
        <v>450</v>
      </c>
      <c r="C132" t="s">
        <v>286</v>
      </c>
      <c r="D132">
        <v>45398.62</v>
      </c>
      <c r="E132">
        <v>0.35211267600000001</v>
      </c>
      <c r="F132">
        <f t="shared" si="4"/>
        <v>45398620</v>
      </c>
      <c r="G132">
        <f t="shared" si="5"/>
        <v>15985429.57490712</v>
      </c>
    </row>
    <row r="133" spans="1:7" x14ac:dyDescent="0.5">
      <c r="A133" t="s">
        <v>317</v>
      </c>
      <c r="B133">
        <v>454</v>
      </c>
      <c r="C133" t="s">
        <v>318</v>
      </c>
      <c r="D133">
        <v>36789.86</v>
      </c>
      <c r="E133">
        <v>0.54330708699999997</v>
      </c>
      <c r="F133">
        <f t="shared" si="4"/>
        <v>36789860</v>
      </c>
      <c r="G133">
        <f t="shared" si="5"/>
        <v>19988191.667737819</v>
      </c>
    </row>
    <row r="134" spans="1:7" x14ac:dyDescent="0.5">
      <c r="A134" t="s">
        <v>319</v>
      </c>
      <c r="B134">
        <v>458</v>
      </c>
      <c r="C134" t="s">
        <v>320</v>
      </c>
      <c r="D134">
        <v>848469.4</v>
      </c>
      <c r="E134">
        <v>0.448901624</v>
      </c>
      <c r="F134">
        <f t="shared" si="4"/>
        <v>848469400</v>
      </c>
      <c r="G134">
        <f t="shared" si="5"/>
        <v>380879291.57430559</v>
      </c>
    </row>
    <row r="135" spans="1:7" x14ac:dyDescent="0.5">
      <c r="A135" t="s">
        <v>287</v>
      </c>
      <c r="B135">
        <v>462</v>
      </c>
      <c r="C135" t="s">
        <v>288</v>
      </c>
      <c r="D135">
        <v>0</v>
      </c>
      <c r="E135">
        <v>0.40409836100000002</v>
      </c>
      <c r="F135">
        <f t="shared" si="4"/>
        <v>0</v>
      </c>
      <c r="G135">
        <f t="shared" si="5"/>
        <v>0</v>
      </c>
    </row>
    <row r="136" spans="1:7" x14ac:dyDescent="0.5">
      <c r="A136" t="s">
        <v>295</v>
      </c>
      <c r="B136">
        <v>466</v>
      </c>
      <c r="C136" t="s">
        <v>296</v>
      </c>
      <c r="D136">
        <v>22839.22</v>
      </c>
      <c r="E136">
        <v>0.361643836</v>
      </c>
      <c r="F136">
        <f t="shared" si="4"/>
        <v>22839220</v>
      </c>
      <c r="G136">
        <f t="shared" si="5"/>
        <v>8259663.1320479196</v>
      </c>
    </row>
    <row r="137" spans="1:7" x14ac:dyDescent="0.5">
      <c r="A137" t="s">
        <v>297</v>
      </c>
      <c r="B137">
        <v>470</v>
      </c>
      <c r="C137" t="s">
        <v>298</v>
      </c>
      <c r="D137">
        <v>181246.57</v>
      </c>
      <c r="E137">
        <v>0.62352941200000001</v>
      </c>
      <c r="F137">
        <f t="shared" si="4"/>
        <v>181246570</v>
      </c>
      <c r="G137">
        <f t="shared" si="5"/>
        <v>113012567.21911684</v>
      </c>
    </row>
    <row r="138" spans="1:7" x14ac:dyDescent="0.5">
      <c r="A138" t="s">
        <v>313</v>
      </c>
      <c r="B138">
        <v>474</v>
      </c>
      <c r="C138" t="s">
        <v>314</v>
      </c>
      <c r="D138">
        <v>563.66</v>
      </c>
      <c r="E138">
        <v>0.4</v>
      </c>
      <c r="F138">
        <f t="shared" si="4"/>
        <v>563660</v>
      </c>
      <c r="G138">
        <f t="shared" si="5"/>
        <v>225464</v>
      </c>
    </row>
    <row r="139" spans="1:7" x14ac:dyDescent="0.5">
      <c r="A139" t="s">
        <v>309</v>
      </c>
      <c r="B139">
        <v>478</v>
      </c>
      <c r="C139" t="s">
        <v>310</v>
      </c>
      <c r="D139">
        <v>0</v>
      </c>
      <c r="E139">
        <v>0.361643836</v>
      </c>
      <c r="F139">
        <f t="shared" si="4"/>
        <v>0</v>
      </c>
      <c r="G139">
        <f t="shared" si="5"/>
        <v>0</v>
      </c>
    </row>
    <row r="140" spans="1:7" x14ac:dyDescent="0.5">
      <c r="A140" t="s">
        <v>315</v>
      </c>
      <c r="B140">
        <v>480</v>
      </c>
      <c r="C140" t="s">
        <v>316</v>
      </c>
      <c r="D140">
        <v>23235.5</v>
      </c>
      <c r="E140">
        <v>0.318095238</v>
      </c>
      <c r="F140">
        <f t="shared" si="4"/>
        <v>23235500</v>
      </c>
      <c r="G140">
        <f t="shared" si="5"/>
        <v>7391101.9025490005</v>
      </c>
    </row>
    <row r="141" spans="1:7" x14ac:dyDescent="0.5">
      <c r="A141" t="s">
        <v>289</v>
      </c>
      <c r="B141">
        <v>484</v>
      </c>
      <c r="C141" t="s">
        <v>290</v>
      </c>
      <c r="D141">
        <v>1131288.17</v>
      </c>
      <c r="E141">
        <v>0.44913419900000001</v>
      </c>
      <c r="F141">
        <f t="shared" si="4"/>
        <v>1131288170</v>
      </c>
      <c r="G141">
        <f t="shared" si="5"/>
        <v>508100206.07112586</v>
      </c>
    </row>
    <row r="142" spans="1:7" x14ac:dyDescent="0.5">
      <c r="A142" t="s">
        <v>281</v>
      </c>
      <c r="B142">
        <v>492</v>
      </c>
      <c r="C142" t="s">
        <v>282</v>
      </c>
      <c r="D142">
        <v>0</v>
      </c>
      <c r="E142">
        <v>0.45245901599999999</v>
      </c>
      <c r="F142">
        <f t="shared" si="4"/>
        <v>0</v>
      </c>
      <c r="G142">
        <f t="shared" si="5"/>
        <v>0</v>
      </c>
    </row>
    <row r="143" spans="1:7" x14ac:dyDescent="0.5">
      <c r="A143" t="s">
        <v>303</v>
      </c>
      <c r="B143">
        <v>496</v>
      </c>
      <c r="C143" t="s">
        <v>304</v>
      </c>
      <c r="D143">
        <v>0</v>
      </c>
      <c r="E143">
        <v>0.35903614499999997</v>
      </c>
      <c r="F143">
        <f t="shared" si="4"/>
        <v>0</v>
      </c>
      <c r="G143">
        <f t="shared" si="5"/>
        <v>0</v>
      </c>
    </row>
    <row r="144" spans="1:7" x14ac:dyDescent="0.5">
      <c r="A144" t="s">
        <v>283</v>
      </c>
      <c r="B144">
        <v>498</v>
      </c>
      <c r="C144" t="s">
        <v>284</v>
      </c>
      <c r="D144">
        <v>25373.15</v>
      </c>
      <c r="E144">
        <v>0.45245901599999999</v>
      </c>
      <c r="F144">
        <f t="shared" si="4"/>
        <v>25373150</v>
      </c>
      <c r="G144">
        <f t="shared" si="5"/>
        <v>11480310.481820399</v>
      </c>
    </row>
    <row r="145" spans="1:7" x14ac:dyDescent="0.5">
      <c r="A145" t="s">
        <v>301</v>
      </c>
      <c r="B145">
        <v>499</v>
      </c>
      <c r="C145" t="s">
        <v>302</v>
      </c>
      <c r="D145">
        <v>4254.33</v>
      </c>
      <c r="E145">
        <v>0.45245901599999999</v>
      </c>
      <c r="F145">
        <f t="shared" si="4"/>
        <v>4254330</v>
      </c>
      <c r="G145">
        <f t="shared" si="5"/>
        <v>1924909.9655392799</v>
      </c>
    </row>
    <row r="146" spans="1:7" x14ac:dyDescent="0.5">
      <c r="A146" t="s">
        <v>311</v>
      </c>
      <c r="B146">
        <v>500</v>
      </c>
      <c r="C146" t="s">
        <v>312</v>
      </c>
      <c r="D146">
        <v>0</v>
      </c>
      <c r="E146">
        <v>0.4</v>
      </c>
      <c r="F146">
        <f t="shared" si="4"/>
        <v>0</v>
      </c>
      <c r="G146">
        <f t="shared" si="5"/>
        <v>0</v>
      </c>
    </row>
    <row r="147" spans="1:7" x14ac:dyDescent="0.5">
      <c r="A147" t="s">
        <v>279</v>
      </c>
      <c r="B147">
        <v>504</v>
      </c>
      <c r="C147" t="s">
        <v>280</v>
      </c>
      <c r="D147">
        <v>7465.17</v>
      </c>
      <c r="E147">
        <v>0.35877862599999999</v>
      </c>
      <c r="F147">
        <f t="shared" si="4"/>
        <v>7465170</v>
      </c>
      <c r="G147">
        <f t="shared" si="5"/>
        <v>2678343.4354564198</v>
      </c>
    </row>
    <row r="148" spans="1:7" x14ac:dyDescent="0.5">
      <c r="A148" t="s">
        <v>307</v>
      </c>
      <c r="B148">
        <v>508</v>
      </c>
      <c r="C148" t="s">
        <v>308</v>
      </c>
      <c r="D148">
        <v>2398.5</v>
      </c>
      <c r="E148">
        <v>0.477678571</v>
      </c>
      <c r="F148">
        <f t="shared" si="4"/>
        <v>2398500</v>
      </c>
      <c r="G148">
        <f t="shared" si="5"/>
        <v>1145712.0525435</v>
      </c>
    </row>
    <row r="149" spans="1:7" x14ac:dyDescent="0.5">
      <c r="A149" t="s">
        <v>347</v>
      </c>
      <c r="B149">
        <v>512</v>
      </c>
      <c r="C149" t="s">
        <v>348</v>
      </c>
      <c r="D149">
        <v>5201.38</v>
      </c>
      <c r="E149">
        <v>0.37956204399999999</v>
      </c>
      <c r="F149">
        <f t="shared" si="4"/>
        <v>5201380</v>
      </c>
      <c r="G149">
        <f t="shared" si="5"/>
        <v>1974246.42442072</v>
      </c>
    </row>
    <row r="150" spans="1:7" x14ac:dyDescent="0.5">
      <c r="A150" t="s">
        <v>323</v>
      </c>
      <c r="B150">
        <v>516</v>
      </c>
      <c r="C150" t="s">
        <v>324</v>
      </c>
      <c r="D150">
        <v>1940.43</v>
      </c>
      <c r="E150">
        <v>0.47112461999999999</v>
      </c>
      <c r="F150">
        <f t="shared" si="4"/>
        <v>1940430</v>
      </c>
      <c r="G150">
        <f t="shared" si="5"/>
        <v>914184.34638659994</v>
      </c>
    </row>
    <row r="151" spans="1:7" x14ac:dyDescent="0.5">
      <c r="A151" t="s">
        <v>343</v>
      </c>
      <c r="B151">
        <v>520</v>
      </c>
      <c r="C151" t="s">
        <v>344</v>
      </c>
      <c r="D151">
        <v>2.67</v>
      </c>
      <c r="E151">
        <v>0.58782608700000005</v>
      </c>
      <c r="F151">
        <f t="shared" si="4"/>
        <v>2670</v>
      </c>
      <c r="G151">
        <f t="shared" si="5"/>
        <v>1569.4956522900002</v>
      </c>
    </row>
    <row r="152" spans="1:7" x14ac:dyDescent="0.5">
      <c r="A152" t="s">
        <v>341</v>
      </c>
      <c r="B152">
        <v>524</v>
      </c>
      <c r="C152" t="s">
        <v>342</v>
      </c>
      <c r="D152">
        <v>182119.87</v>
      </c>
      <c r="E152">
        <v>0.44701986799999999</v>
      </c>
      <c r="F152">
        <f t="shared" si="4"/>
        <v>182119870</v>
      </c>
      <c r="G152">
        <f t="shared" si="5"/>
        <v>81411200.247577161</v>
      </c>
    </row>
    <row r="153" spans="1:7" x14ac:dyDescent="0.5">
      <c r="A153" t="s">
        <v>337</v>
      </c>
      <c r="B153">
        <v>528</v>
      </c>
      <c r="C153" t="s">
        <v>338</v>
      </c>
      <c r="D153">
        <v>108964.49</v>
      </c>
      <c r="E153">
        <v>0.46511627900000002</v>
      </c>
      <c r="F153">
        <f t="shared" si="4"/>
        <v>108964490</v>
      </c>
      <c r="G153">
        <f t="shared" si="5"/>
        <v>50681158.131932713</v>
      </c>
    </row>
    <row r="154" spans="1:7" x14ac:dyDescent="0.5">
      <c r="A154" t="s">
        <v>113</v>
      </c>
      <c r="B154">
        <v>531</v>
      </c>
      <c r="C154" t="s">
        <v>114</v>
      </c>
      <c r="D154">
        <v>0</v>
      </c>
      <c r="E154">
        <v>0.4</v>
      </c>
      <c r="F154">
        <f t="shared" si="4"/>
        <v>0</v>
      </c>
      <c r="G154">
        <f t="shared" si="5"/>
        <v>0</v>
      </c>
    </row>
    <row r="155" spans="1:7" x14ac:dyDescent="0.5">
      <c r="A155" t="s">
        <v>5</v>
      </c>
      <c r="B155">
        <v>533</v>
      </c>
      <c r="C155" t="s">
        <v>6</v>
      </c>
      <c r="D155">
        <v>12.57</v>
      </c>
      <c r="E155">
        <v>0.4</v>
      </c>
      <c r="F155">
        <f t="shared" si="4"/>
        <v>12570</v>
      </c>
      <c r="G155">
        <f t="shared" si="5"/>
        <v>5028</v>
      </c>
    </row>
    <row r="156" spans="1:7" x14ac:dyDescent="0.5">
      <c r="A156" t="s">
        <v>429</v>
      </c>
      <c r="B156">
        <v>534</v>
      </c>
      <c r="C156" t="s">
        <v>430</v>
      </c>
      <c r="D156">
        <v>0</v>
      </c>
      <c r="E156">
        <v>0.4</v>
      </c>
      <c r="F156">
        <f t="shared" si="4"/>
        <v>0</v>
      </c>
      <c r="G156">
        <f t="shared" si="5"/>
        <v>0</v>
      </c>
    </row>
    <row r="157" spans="1:7" x14ac:dyDescent="0.5">
      <c r="A157" t="s">
        <v>45</v>
      </c>
      <c r="B157">
        <v>535</v>
      </c>
      <c r="C157" t="s">
        <v>46</v>
      </c>
      <c r="D157">
        <v>0</v>
      </c>
      <c r="E157">
        <v>0.4</v>
      </c>
      <c r="F157">
        <f t="shared" si="4"/>
        <v>0</v>
      </c>
      <c r="G157">
        <f t="shared" si="5"/>
        <v>0</v>
      </c>
    </row>
    <row r="158" spans="1:7" x14ac:dyDescent="0.5">
      <c r="A158" t="s">
        <v>325</v>
      </c>
      <c r="B158">
        <v>540</v>
      </c>
      <c r="C158" t="s">
        <v>326</v>
      </c>
      <c r="D158">
        <v>18139.98</v>
      </c>
      <c r="E158">
        <v>0.58782608700000005</v>
      </c>
      <c r="F158">
        <f t="shared" si="4"/>
        <v>18139980</v>
      </c>
      <c r="G158">
        <f t="shared" si="5"/>
        <v>10663153.461658262</v>
      </c>
    </row>
    <row r="159" spans="1:7" x14ac:dyDescent="0.5">
      <c r="A159" t="s">
        <v>489</v>
      </c>
      <c r="B159">
        <v>548</v>
      </c>
      <c r="C159" t="s">
        <v>490</v>
      </c>
      <c r="D159">
        <v>305.83999999999997</v>
      </c>
      <c r="E159">
        <v>0.58782608700000005</v>
      </c>
      <c r="F159">
        <f t="shared" si="4"/>
        <v>305840</v>
      </c>
      <c r="G159">
        <f t="shared" si="5"/>
        <v>179780.73044808002</v>
      </c>
    </row>
    <row r="160" spans="1:7" x14ac:dyDescent="0.5">
      <c r="A160" t="s">
        <v>345</v>
      </c>
      <c r="B160">
        <v>554</v>
      </c>
      <c r="C160" t="s">
        <v>346</v>
      </c>
      <c r="D160">
        <v>848666.76</v>
      </c>
      <c r="E160">
        <v>0.57643312099999999</v>
      </c>
      <c r="F160">
        <f t="shared" si="4"/>
        <v>848666760</v>
      </c>
      <c r="G160">
        <f t="shared" si="5"/>
        <v>489199629.15575796</v>
      </c>
    </row>
    <row r="161" spans="1:7" x14ac:dyDescent="0.5">
      <c r="A161" t="s">
        <v>333</v>
      </c>
      <c r="B161">
        <v>558</v>
      </c>
      <c r="C161" t="s">
        <v>334</v>
      </c>
      <c r="D161">
        <v>110355.05</v>
      </c>
      <c r="E161">
        <v>0.34378378399999998</v>
      </c>
      <c r="F161">
        <f t="shared" si="4"/>
        <v>110355050</v>
      </c>
      <c r="G161">
        <f t="shared" si="5"/>
        <v>37938276.672509201</v>
      </c>
    </row>
    <row r="162" spans="1:7" x14ac:dyDescent="0.5">
      <c r="A162" t="s">
        <v>327</v>
      </c>
      <c r="B162">
        <v>562</v>
      </c>
      <c r="C162" t="s">
        <v>328</v>
      </c>
      <c r="D162">
        <v>1419.94</v>
      </c>
      <c r="E162">
        <v>0.361643836</v>
      </c>
      <c r="F162">
        <f t="shared" si="4"/>
        <v>1419940</v>
      </c>
      <c r="G162">
        <f t="shared" si="5"/>
        <v>513512.54848984</v>
      </c>
    </row>
    <row r="163" spans="1:7" x14ac:dyDescent="0.5">
      <c r="A163" t="s">
        <v>331</v>
      </c>
      <c r="B163">
        <v>566</v>
      </c>
      <c r="C163" t="s">
        <v>332</v>
      </c>
      <c r="D163">
        <v>833002.5</v>
      </c>
      <c r="E163">
        <v>0.30164765500000001</v>
      </c>
      <c r="F163">
        <f t="shared" si="4"/>
        <v>833002500</v>
      </c>
      <c r="G163">
        <f t="shared" si="5"/>
        <v>251273250.73413751</v>
      </c>
    </row>
    <row r="164" spans="1:7" x14ac:dyDescent="0.5">
      <c r="A164" t="s">
        <v>335</v>
      </c>
      <c r="B164">
        <v>570</v>
      </c>
      <c r="C164" t="s">
        <v>336</v>
      </c>
      <c r="D164">
        <v>0</v>
      </c>
      <c r="E164">
        <v>0.58782608700000005</v>
      </c>
      <c r="F164">
        <f t="shared" si="4"/>
        <v>0</v>
      </c>
      <c r="G164">
        <f t="shared" si="5"/>
        <v>0</v>
      </c>
    </row>
    <row r="165" spans="1:7" x14ac:dyDescent="0.5">
      <c r="A165" t="s">
        <v>329</v>
      </c>
      <c r="B165">
        <v>574</v>
      </c>
      <c r="C165" t="s">
        <v>330</v>
      </c>
      <c r="D165">
        <v>0</v>
      </c>
      <c r="E165">
        <v>0.58782608700000005</v>
      </c>
      <c r="F165">
        <f t="shared" si="4"/>
        <v>0</v>
      </c>
      <c r="G165">
        <f t="shared" si="5"/>
        <v>0</v>
      </c>
    </row>
    <row r="166" spans="1:7" x14ac:dyDescent="0.5">
      <c r="A166" t="s">
        <v>339</v>
      </c>
      <c r="B166">
        <v>578</v>
      </c>
      <c r="C166" t="s">
        <v>340</v>
      </c>
      <c r="D166">
        <v>8151691.9400000004</v>
      </c>
      <c r="E166">
        <v>0.50140933300000001</v>
      </c>
      <c r="F166">
        <f t="shared" si="4"/>
        <v>8151691940</v>
      </c>
      <c r="G166">
        <f t="shared" si="5"/>
        <v>4087334418.4568763</v>
      </c>
    </row>
    <row r="167" spans="1:7" x14ac:dyDescent="0.5">
      <c r="A167" t="s">
        <v>305</v>
      </c>
      <c r="B167">
        <v>580</v>
      </c>
      <c r="C167" t="s">
        <v>306</v>
      </c>
      <c r="D167">
        <v>500</v>
      </c>
      <c r="E167">
        <v>0.58782608700000005</v>
      </c>
      <c r="F167">
        <f t="shared" si="4"/>
        <v>500000</v>
      </c>
      <c r="G167">
        <f t="shared" si="5"/>
        <v>293913.04350000003</v>
      </c>
    </row>
    <row r="168" spans="1:7" x14ac:dyDescent="0.5">
      <c r="A168" t="s">
        <v>469</v>
      </c>
      <c r="B168">
        <v>581</v>
      </c>
      <c r="C168" t="s">
        <v>470</v>
      </c>
    </row>
    <row r="169" spans="1:7" x14ac:dyDescent="0.5">
      <c r="A169" t="s">
        <v>159</v>
      </c>
      <c r="B169">
        <v>583</v>
      </c>
      <c r="C169" t="s">
        <v>160</v>
      </c>
      <c r="D169">
        <v>2.95</v>
      </c>
      <c r="E169">
        <v>0.58782608700000005</v>
      </c>
      <c r="F169">
        <f t="shared" si="4"/>
        <v>2950</v>
      </c>
      <c r="G169">
        <f t="shared" si="5"/>
        <v>1734.08695665</v>
      </c>
    </row>
    <row r="170" spans="1:7" x14ac:dyDescent="0.5">
      <c r="A170" t="s">
        <v>291</v>
      </c>
      <c r="B170">
        <v>584</v>
      </c>
      <c r="C170" t="s">
        <v>292</v>
      </c>
      <c r="D170">
        <v>39.6</v>
      </c>
      <c r="E170">
        <v>0.58782608700000005</v>
      </c>
      <c r="F170">
        <f t="shared" si="4"/>
        <v>39600</v>
      </c>
      <c r="G170">
        <f t="shared" si="5"/>
        <v>23277.913045200003</v>
      </c>
    </row>
    <row r="171" spans="1:7" x14ac:dyDescent="0.5">
      <c r="A171" t="s">
        <v>359</v>
      </c>
      <c r="B171">
        <v>585</v>
      </c>
      <c r="C171" t="s">
        <v>360</v>
      </c>
      <c r="D171">
        <v>105</v>
      </c>
      <c r="E171">
        <v>0.58782608700000005</v>
      </c>
      <c r="F171">
        <f t="shared" si="4"/>
        <v>105000</v>
      </c>
      <c r="G171">
        <f t="shared" si="5"/>
        <v>61721.739135000003</v>
      </c>
    </row>
    <row r="172" spans="1:7" x14ac:dyDescent="0.5">
      <c r="A172" t="s">
        <v>349</v>
      </c>
      <c r="B172">
        <v>586</v>
      </c>
      <c r="C172" t="s">
        <v>350</v>
      </c>
      <c r="D172">
        <v>176831.67</v>
      </c>
      <c r="E172">
        <v>0.42098092599999998</v>
      </c>
      <c r="F172">
        <f t="shared" si="4"/>
        <v>176831670</v>
      </c>
      <c r="G172">
        <f t="shared" si="5"/>
        <v>74442760.182726413</v>
      </c>
    </row>
    <row r="173" spans="1:7" x14ac:dyDescent="0.5">
      <c r="A173" t="s">
        <v>351</v>
      </c>
      <c r="B173">
        <v>591</v>
      </c>
      <c r="C173" t="s">
        <v>352</v>
      </c>
      <c r="D173">
        <v>43140.02</v>
      </c>
      <c r="E173">
        <v>0.44685039399999998</v>
      </c>
      <c r="F173">
        <f t="shared" si="4"/>
        <v>43140020</v>
      </c>
      <c r="G173">
        <f t="shared" si="5"/>
        <v>19277134.934167881</v>
      </c>
    </row>
    <row r="174" spans="1:7" x14ac:dyDescent="0.5">
      <c r="A174" t="s">
        <v>361</v>
      </c>
      <c r="B174">
        <v>598</v>
      </c>
      <c r="C174" t="s">
        <v>362</v>
      </c>
      <c r="D174">
        <v>7677.14</v>
      </c>
      <c r="E174">
        <v>0.58782608700000005</v>
      </c>
      <c r="F174">
        <f t="shared" si="4"/>
        <v>7677140</v>
      </c>
      <c r="G174">
        <f t="shared" si="5"/>
        <v>4512823.16555118</v>
      </c>
    </row>
    <row r="175" spans="1:7" x14ac:dyDescent="0.5">
      <c r="A175" t="s">
        <v>371</v>
      </c>
      <c r="B175">
        <v>600</v>
      </c>
      <c r="C175" t="s">
        <v>372</v>
      </c>
      <c r="D175">
        <v>32808.720000000001</v>
      </c>
      <c r="E175">
        <v>0.38802395200000001</v>
      </c>
      <c r="F175">
        <f t="shared" si="4"/>
        <v>32808720</v>
      </c>
      <c r="G175">
        <f t="shared" si="5"/>
        <v>12730569.194461441</v>
      </c>
    </row>
    <row r="176" spans="1:7" x14ac:dyDescent="0.5">
      <c r="A176" t="s">
        <v>355</v>
      </c>
      <c r="B176">
        <v>604</v>
      </c>
      <c r="C176" t="s">
        <v>356</v>
      </c>
      <c r="D176">
        <v>523313.05</v>
      </c>
      <c r="E176">
        <v>0.43589743600000003</v>
      </c>
      <c r="F176">
        <f t="shared" si="4"/>
        <v>523313050</v>
      </c>
      <c r="G176">
        <f t="shared" si="5"/>
        <v>228110816.7203398</v>
      </c>
    </row>
    <row r="177" spans="1:7" x14ac:dyDescent="0.5">
      <c r="A177" t="s">
        <v>357</v>
      </c>
      <c r="B177">
        <v>608</v>
      </c>
      <c r="C177" t="s">
        <v>358</v>
      </c>
      <c r="D177">
        <v>2046148.31</v>
      </c>
      <c r="E177">
        <v>0.34855910600000001</v>
      </c>
      <c r="F177">
        <f t="shared" si="4"/>
        <v>2046148310</v>
      </c>
      <c r="G177">
        <f t="shared" si="5"/>
        <v>713203625.67701089</v>
      </c>
    </row>
    <row r="178" spans="1:7" x14ac:dyDescent="0.5">
      <c r="A178" t="s">
        <v>353</v>
      </c>
      <c r="B178">
        <v>612</v>
      </c>
      <c r="C178" t="s">
        <v>354</v>
      </c>
      <c r="D178">
        <v>0</v>
      </c>
      <c r="E178">
        <v>0.58782608700000005</v>
      </c>
      <c r="F178">
        <f t="shared" si="4"/>
        <v>0</v>
      </c>
      <c r="G178">
        <f t="shared" si="5"/>
        <v>0</v>
      </c>
    </row>
    <row r="179" spans="1:7" x14ac:dyDescent="0.5">
      <c r="A179" t="s">
        <v>363</v>
      </c>
      <c r="B179">
        <v>616</v>
      </c>
      <c r="C179" t="s">
        <v>364</v>
      </c>
      <c r="D179">
        <v>172971.35</v>
      </c>
      <c r="E179">
        <v>0.55096774199999998</v>
      </c>
      <c r="F179">
        <f t="shared" si="4"/>
        <v>172971350</v>
      </c>
      <c r="G179">
        <f t="shared" si="5"/>
        <v>95301634.140191704</v>
      </c>
    </row>
    <row r="180" spans="1:7" x14ac:dyDescent="0.5">
      <c r="A180" t="s">
        <v>369</v>
      </c>
      <c r="B180">
        <v>620</v>
      </c>
      <c r="C180" t="s">
        <v>370</v>
      </c>
      <c r="D180">
        <v>114379.14</v>
      </c>
      <c r="E180">
        <v>0.49442379199999997</v>
      </c>
      <c r="F180">
        <f t="shared" si="4"/>
        <v>114379140</v>
      </c>
      <c r="G180">
        <f t="shared" si="5"/>
        <v>56551768.124498874</v>
      </c>
    </row>
    <row r="181" spans="1:7" x14ac:dyDescent="0.5">
      <c r="A181" t="s">
        <v>179</v>
      </c>
      <c r="B181">
        <v>624</v>
      </c>
      <c r="C181" t="s">
        <v>180</v>
      </c>
      <c r="D181">
        <v>51.2</v>
      </c>
      <c r="E181">
        <v>0.361643836</v>
      </c>
      <c r="F181">
        <f t="shared" si="4"/>
        <v>51200</v>
      </c>
      <c r="G181">
        <f t="shared" si="5"/>
        <v>18516.1644032</v>
      </c>
    </row>
    <row r="182" spans="1:7" x14ac:dyDescent="0.5">
      <c r="A182" t="s">
        <v>449</v>
      </c>
      <c r="B182">
        <v>626</v>
      </c>
      <c r="C182" t="s">
        <v>450</v>
      </c>
      <c r="D182">
        <v>1157</v>
      </c>
      <c r="E182">
        <v>0.30658143900000001</v>
      </c>
      <c r="F182">
        <f t="shared" si="4"/>
        <v>1157000</v>
      </c>
      <c r="G182">
        <f t="shared" si="5"/>
        <v>354714.72492300003</v>
      </c>
    </row>
    <row r="183" spans="1:7" x14ac:dyDescent="0.5">
      <c r="A183" t="s">
        <v>365</v>
      </c>
      <c r="B183">
        <v>630</v>
      </c>
      <c r="C183" t="s">
        <v>366</v>
      </c>
      <c r="D183">
        <v>239.18</v>
      </c>
      <c r="E183">
        <v>0.428571429</v>
      </c>
      <c r="F183">
        <f t="shared" si="4"/>
        <v>239180</v>
      </c>
      <c r="G183">
        <f t="shared" si="5"/>
        <v>102505.71438822</v>
      </c>
    </row>
    <row r="184" spans="1:7" x14ac:dyDescent="0.5">
      <c r="A184" t="s">
        <v>377</v>
      </c>
      <c r="B184">
        <v>634</v>
      </c>
      <c r="C184" t="s">
        <v>378</v>
      </c>
      <c r="D184">
        <v>81.400000000000006</v>
      </c>
      <c r="E184">
        <v>0.497816594</v>
      </c>
      <c r="F184">
        <f t="shared" si="4"/>
        <v>81400</v>
      </c>
      <c r="G184">
        <f t="shared" si="5"/>
        <v>40522.270751600001</v>
      </c>
    </row>
    <row r="185" spans="1:7" x14ac:dyDescent="0.5">
      <c r="A185" t="s">
        <v>379</v>
      </c>
      <c r="B185">
        <v>638</v>
      </c>
      <c r="C185" t="s">
        <v>380</v>
      </c>
      <c r="D185">
        <v>548.54</v>
      </c>
      <c r="E185">
        <v>0.43187772899999999</v>
      </c>
      <c r="F185">
        <f t="shared" si="4"/>
        <v>548540</v>
      </c>
      <c r="G185">
        <f t="shared" si="5"/>
        <v>236902.20946565998</v>
      </c>
    </row>
    <row r="186" spans="1:7" x14ac:dyDescent="0.5">
      <c r="A186" t="s">
        <v>381</v>
      </c>
      <c r="B186">
        <v>642</v>
      </c>
      <c r="C186" t="s">
        <v>382</v>
      </c>
      <c r="D186">
        <v>35679.589999999997</v>
      </c>
      <c r="E186">
        <v>0.31914893599999999</v>
      </c>
      <c r="F186">
        <f t="shared" si="4"/>
        <v>35679590</v>
      </c>
      <c r="G186">
        <f t="shared" si="5"/>
        <v>11387103.18541624</v>
      </c>
    </row>
    <row r="187" spans="1:7" x14ac:dyDescent="0.5">
      <c r="A187" t="s">
        <v>383</v>
      </c>
      <c r="B187">
        <v>643</v>
      </c>
      <c r="C187" t="s">
        <v>384</v>
      </c>
      <c r="D187">
        <v>959218.8</v>
      </c>
      <c r="E187">
        <v>0.50616720000000004</v>
      </c>
      <c r="F187">
        <f t="shared" si="4"/>
        <v>959218800</v>
      </c>
      <c r="G187">
        <f t="shared" si="5"/>
        <v>485525094.18336004</v>
      </c>
    </row>
    <row r="188" spans="1:7" x14ac:dyDescent="0.5">
      <c r="A188" t="s">
        <v>385</v>
      </c>
      <c r="B188">
        <v>646</v>
      </c>
      <c r="C188" t="s">
        <v>386</v>
      </c>
      <c r="D188">
        <v>12399.07</v>
      </c>
      <c r="E188">
        <v>0.35671641799999998</v>
      </c>
      <c r="F188">
        <f t="shared" si="4"/>
        <v>12399070</v>
      </c>
      <c r="G188">
        <f t="shared" si="5"/>
        <v>4422951.8369312594</v>
      </c>
    </row>
    <row r="189" spans="1:7" x14ac:dyDescent="0.5">
      <c r="A189" t="s">
        <v>59</v>
      </c>
      <c r="B189">
        <v>652</v>
      </c>
      <c r="C189" t="s">
        <v>60</v>
      </c>
      <c r="D189">
        <v>0</v>
      </c>
      <c r="E189">
        <v>0.4</v>
      </c>
      <c r="F189">
        <f t="shared" si="4"/>
        <v>0</v>
      </c>
      <c r="G189">
        <f t="shared" si="5"/>
        <v>0</v>
      </c>
    </row>
    <row r="190" spans="1:7" x14ac:dyDescent="0.5">
      <c r="A190" t="s">
        <v>397</v>
      </c>
      <c r="B190">
        <v>654</v>
      </c>
      <c r="C190" t="s">
        <v>398</v>
      </c>
      <c r="D190">
        <v>0</v>
      </c>
      <c r="E190">
        <v>0.40517241399999998</v>
      </c>
      <c r="F190">
        <f t="shared" si="4"/>
        <v>0</v>
      </c>
      <c r="G190">
        <f t="shared" si="5"/>
        <v>0</v>
      </c>
    </row>
    <row r="191" spans="1:7" x14ac:dyDescent="0.5">
      <c r="A191" t="s">
        <v>247</v>
      </c>
      <c r="B191">
        <v>659</v>
      </c>
      <c r="C191" t="s">
        <v>248</v>
      </c>
      <c r="D191">
        <v>17.22</v>
      </c>
      <c r="E191">
        <v>0.4</v>
      </c>
      <c r="F191">
        <f t="shared" si="4"/>
        <v>17220</v>
      </c>
      <c r="G191">
        <f t="shared" si="5"/>
        <v>6888</v>
      </c>
    </row>
    <row r="192" spans="1:7" x14ac:dyDescent="0.5">
      <c r="A192" t="s">
        <v>11</v>
      </c>
      <c r="B192">
        <v>660</v>
      </c>
      <c r="C192" t="s">
        <v>12</v>
      </c>
      <c r="D192">
        <v>0</v>
      </c>
      <c r="E192">
        <v>0.4</v>
      </c>
      <c r="F192">
        <f t="shared" si="4"/>
        <v>0</v>
      </c>
      <c r="G192">
        <f t="shared" si="5"/>
        <v>0</v>
      </c>
    </row>
    <row r="193" spans="1:7" x14ac:dyDescent="0.5">
      <c r="A193" t="s">
        <v>261</v>
      </c>
      <c r="B193">
        <v>662</v>
      </c>
      <c r="C193" t="s">
        <v>262</v>
      </c>
      <c r="D193">
        <v>58.82</v>
      </c>
      <c r="E193">
        <v>0.4</v>
      </c>
      <c r="F193">
        <f t="shared" si="4"/>
        <v>58820</v>
      </c>
      <c r="G193">
        <f t="shared" si="5"/>
        <v>23528</v>
      </c>
    </row>
    <row r="194" spans="1:7" x14ac:dyDescent="0.5">
      <c r="A194" t="s">
        <v>277</v>
      </c>
      <c r="B194">
        <v>663</v>
      </c>
      <c r="C194" t="s">
        <v>278</v>
      </c>
      <c r="D194">
        <v>0</v>
      </c>
      <c r="E194">
        <v>0.4</v>
      </c>
      <c r="F194">
        <f t="shared" ref="F194:F251" si="6">1000*D194</f>
        <v>0</v>
      </c>
      <c r="G194">
        <f t="shared" ref="G194:G257" si="7">F194*E194</f>
        <v>0</v>
      </c>
    </row>
    <row r="195" spans="1:7" x14ac:dyDescent="0.5">
      <c r="A195" t="s">
        <v>411</v>
      </c>
      <c r="B195">
        <v>666</v>
      </c>
      <c r="C195" t="s">
        <v>412</v>
      </c>
      <c r="D195">
        <v>0</v>
      </c>
      <c r="E195">
        <v>0.50251256300000002</v>
      </c>
      <c r="F195">
        <f t="shared" si="6"/>
        <v>0</v>
      </c>
      <c r="G195">
        <f t="shared" si="7"/>
        <v>0</v>
      </c>
    </row>
    <row r="196" spans="1:7" x14ac:dyDescent="0.5">
      <c r="A196" t="s">
        <v>479</v>
      </c>
      <c r="B196">
        <v>670</v>
      </c>
      <c r="C196" t="s">
        <v>480</v>
      </c>
      <c r="D196">
        <v>0</v>
      </c>
      <c r="E196">
        <v>0.4</v>
      </c>
      <c r="F196">
        <f t="shared" si="6"/>
        <v>0</v>
      </c>
      <c r="G196">
        <f t="shared" si="7"/>
        <v>0</v>
      </c>
    </row>
    <row r="197" spans="1:7" x14ac:dyDescent="0.5">
      <c r="A197" t="s">
        <v>407</v>
      </c>
      <c r="B197">
        <v>674</v>
      </c>
      <c r="C197" t="s">
        <v>408</v>
      </c>
      <c r="D197">
        <v>0</v>
      </c>
      <c r="E197">
        <v>0.45245901599999999</v>
      </c>
      <c r="F197">
        <f t="shared" si="6"/>
        <v>0</v>
      </c>
      <c r="G197">
        <f t="shared" si="7"/>
        <v>0</v>
      </c>
    </row>
    <row r="198" spans="1:7" x14ac:dyDescent="0.5">
      <c r="A198" t="s">
        <v>417</v>
      </c>
      <c r="B198">
        <v>678</v>
      </c>
      <c r="C198" t="s">
        <v>418</v>
      </c>
      <c r="D198">
        <v>0</v>
      </c>
      <c r="E198">
        <v>0.36796116499999998</v>
      </c>
      <c r="F198">
        <f t="shared" si="6"/>
        <v>0</v>
      </c>
      <c r="G198">
        <f t="shared" si="7"/>
        <v>0</v>
      </c>
    </row>
    <row r="199" spans="1:7" x14ac:dyDescent="0.5">
      <c r="A199" t="s">
        <v>387</v>
      </c>
      <c r="B199">
        <v>682</v>
      </c>
      <c r="C199" t="s">
        <v>388</v>
      </c>
      <c r="D199">
        <v>582407.52</v>
      </c>
      <c r="E199">
        <v>0.68322981400000005</v>
      </c>
      <c r="F199">
        <f t="shared" si="6"/>
        <v>582407520</v>
      </c>
      <c r="G199">
        <f t="shared" si="7"/>
        <v>397918181.56180131</v>
      </c>
    </row>
    <row r="200" spans="1:7" x14ac:dyDescent="0.5">
      <c r="A200" t="s">
        <v>391</v>
      </c>
      <c r="B200">
        <v>686</v>
      </c>
      <c r="C200" t="s">
        <v>392</v>
      </c>
      <c r="D200">
        <v>2689.41</v>
      </c>
      <c r="E200">
        <v>0.43663366300000001</v>
      </c>
      <c r="F200">
        <f t="shared" si="6"/>
        <v>2689410</v>
      </c>
      <c r="G200">
        <f t="shared" si="7"/>
        <v>1174286.93960883</v>
      </c>
    </row>
    <row r="201" spans="1:7" x14ac:dyDescent="0.5">
      <c r="A201" t="s">
        <v>413</v>
      </c>
      <c r="B201">
        <v>688</v>
      </c>
      <c r="C201" t="s">
        <v>414</v>
      </c>
      <c r="D201">
        <v>20241.48</v>
      </c>
      <c r="E201">
        <v>0.45245901599999999</v>
      </c>
      <c r="F201">
        <f t="shared" si="6"/>
        <v>20241480</v>
      </c>
      <c r="G201">
        <f t="shared" si="7"/>
        <v>9158440.1231836807</v>
      </c>
    </row>
    <row r="202" spans="1:7" x14ac:dyDescent="0.5">
      <c r="A202" t="s">
        <v>431</v>
      </c>
      <c r="B202">
        <v>690</v>
      </c>
      <c r="C202" t="s">
        <v>432</v>
      </c>
      <c r="D202">
        <v>0</v>
      </c>
      <c r="E202">
        <v>0.43187772899999999</v>
      </c>
      <c r="F202">
        <f t="shared" si="6"/>
        <v>0</v>
      </c>
      <c r="G202">
        <f t="shared" si="7"/>
        <v>0</v>
      </c>
    </row>
    <row r="203" spans="1:7" x14ac:dyDescent="0.5">
      <c r="A203" t="s">
        <v>403</v>
      </c>
      <c r="B203">
        <v>694</v>
      </c>
      <c r="C203" t="s">
        <v>404</v>
      </c>
      <c r="D203">
        <v>152.5</v>
      </c>
      <c r="E203">
        <v>0.361643836</v>
      </c>
      <c r="F203">
        <f t="shared" si="6"/>
        <v>152500</v>
      </c>
      <c r="G203">
        <f t="shared" si="7"/>
        <v>55150.684990000002</v>
      </c>
    </row>
    <row r="204" spans="1:7" x14ac:dyDescent="0.5">
      <c r="A204" t="s">
        <v>393</v>
      </c>
      <c r="B204">
        <v>702</v>
      </c>
      <c r="C204" t="s">
        <v>394</v>
      </c>
      <c r="D204">
        <v>36134.910000000003</v>
      </c>
      <c r="E204">
        <v>0.49053356300000001</v>
      </c>
      <c r="F204">
        <f t="shared" si="6"/>
        <v>36134910</v>
      </c>
      <c r="G204">
        <f t="shared" si="7"/>
        <v>17725386.150984332</v>
      </c>
    </row>
    <row r="205" spans="1:7" x14ac:dyDescent="0.5">
      <c r="A205" t="s">
        <v>421</v>
      </c>
      <c r="B205">
        <v>703</v>
      </c>
      <c r="C205" t="s">
        <v>422</v>
      </c>
      <c r="D205">
        <v>8052.92</v>
      </c>
      <c r="E205">
        <v>0.58199753399999998</v>
      </c>
      <c r="F205">
        <f t="shared" si="6"/>
        <v>8052920</v>
      </c>
      <c r="G205">
        <f t="shared" si="7"/>
        <v>4686779.5814992795</v>
      </c>
    </row>
    <row r="206" spans="1:7" x14ac:dyDescent="0.5">
      <c r="A206" t="s">
        <v>487</v>
      </c>
      <c r="B206">
        <v>704</v>
      </c>
      <c r="C206" t="s">
        <v>488</v>
      </c>
      <c r="D206">
        <v>12052642.810000001</v>
      </c>
      <c r="E206">
        <v>0.35918727900000003</v>
      </c>
      <c r="F206">
        <f t="shared" si="6"/>
        <v>12052642810</v>
      </c>
      <c r="G206">
        <f t="shared" si="7"/>
        <v>4329155975.6828146</v>
      </c>
    </row>
    <row r="207" spans="1:7" x14ac:dyDescent="0.5">
      <c r="A207" t="s">
        <v>423</v>
      </c>
      <c r="B207">
        <v>705</v>
      </c>
      <c r="C207" t="s">
        <v>424</v>
      </c>
      <c r="D207">
        <v>7246.3</v>
      </c>
      <c r="E207">
        <v>0.56855575899999999</v>
      </c>
      <c r="F207">
        <f t="shared" si="6"/>
        <v>7246300</v>
      </c>
      <c r="G207">
        <f t="shared" si="7"/>
        <v>4119925.5964417001</v>
      </c>
    </row>
    <row r="208" spans="1:7" x14ac:dyDescent="0.5">
      <c r="A208" t="s">
        <v>409</v>
      </c>
      <c r="B208">
        <v>706</v>
      </c>
      <c r="C208" t="s">
        <v>410</v>
      </c>
      <c r="D208">
        <v>0</v>
      </c>
      <c r="E208">
        <v>0.43187772899999999</v>
      </c>
      <c r="F208">
        <f t="shared" si="6"/>
        <v>0</v>
      </c>
      <c r="G208">
        <f t="shared" si="7"/>
        <v>0</v>
      </c>
    </row>
    <row r="209" spans="1:7" x14ac:dyDescent="0.5">
      <c r="A209" t="s">
        <v>498</v>
      </c>
      <c r="B209">
        <v>710</v>
      </c>
      <c r="C209" t="s">
        <v>499</v>
      </c>
      <c r="D209">
        <v>80951.62</v>
      </c>
      <c r="E209">
        <v>0.48055555599999999</v>
      </c>
      <c r="F209">
        <f t="shared" si="6"/>
        <v>80951620</v>
      </c>
      <c r="G209">
        <f t="shared" si="7"/>
        <v>38901750.75820072</v>
      </c>
    </row>
    <row r="210" spans="1:7" x14ac:dyDescent="0.5">
      <c r="A210" t="s">
        <v>502</v>
      </c>
      <c r="B210">
        <v>716</v>
      </c>
      <c r="C210" t="s">
        <v>503</v>
      </c>
      <c r="D210">
        <v>61294.080000000002</v>
      </c>
      <c r="E210">
        <v>0.40259740300000002</v>
      </c>
      <c r="F210">
        <f t="shared" si="6"/>
        <v>61294080</v>
      </c>
      <c r="G210">
        <f t="shared" si="7"/>
        <v>24676837.427274242</v>
      </c>
    </row>
    <row r="211" spans="1:7" x14ac:dyDescent="0.5">
      <c r="A211" t="s">
        <v>143</v>
      </c>
      <c r="B211">
        <v>724</v>
      </c>
      <c r="C211" t="s">
        <v>144</v>
      </c>
      <c r="D211">
        <v>716617.55</v>
      </c>
      <c r="E211">
        <v>0.60765124599999998</v>
      </c>
      <c r="F211">
        <f t="shared" si="6"/>
        <v>716617550</v>
      </c>
      <c r="G211">
        <f t="shared" si="7"/>
        <v>435453547.16296726</v>
      </c>
    </row>
    <row r="212" spans="1:7" x14ac:dyDescent="0.5">
      <c r="A212" t="s">
        <v>415</v>
      </c>
      <c r="B212">
        <v>728</v>
      </c>
      <c r="C212" t="s">
        <v>416</v>
      </c>
      <c r="D212">
        <v>122.5</v>
      </c>
      <c r="E212">
        <v>0.43187772899999999</v>
      </c>
      <c r="F212">
        <f t="shared" si="6"/>
        <v>122500</v>
      </c>
      <c r="G212">
        <f t="shared" si="7"/>
        <v>52905.021802499999</v>
      </c>
    </row>
    <row r="213" spans="1:7" x14ac:dyDescent="0.5">
      <c r="A213" t="s">
        <v>389</v>
      </c>
      <c r="B213">
        <v>729</v>
      </c>
      <c r="C213" t="s">
        <v>390</v>
      </c>
      <c r="D213">
        <v>11143.39</v>
      </c>
      <c r="E213">
        <v>0.43187772899999999</v>
      </c>
      <c r="F213">
        <f t="shared" si="6"/>
        <v>11143390</v>
      </c>
      <c r="G213">
        <f t="shared" si="7"/>
        <v>4812581.96656131</v>
      </c>
    </row>
    <row r="214" spans="1:7" x14ac:dyDescent="0.5">
      <c r="A214" t="s">
        <v>141</v>
      </c>
      <c r="B214">
        <v>732</v>
      </c>
      <c r="C214" t="s">
        <v>142</v>
      </c>
      <c r="D214">
        <v>0</v>
      </c>
      <c r="E214">
        <v>0.39790575900000003</v>
      </c>
      <c r="F214">
        <f t="shared" si="6"/>
        <v>0</v>
      </c>
      <c r="G214">
        <f t="shared" si="7"/>
        <v>0</v>
      </c>
    </row>
    <row r="215" spans="1:7" x14ac:dyDescent="0.5">
      <c r="A215" t="s">
        <v>419</v>
      </c>
      <c r="B215">
        <v>740</v>
      </c>
      <c r="C215" t="s">
        <v>420</v>
      </c>
      <c r="D215">
        <v>416.38</v>
      </c>
      <c r="E215">
        <v>0.51005586599999997</v>
      </c>
      <c r="F215">
        <f t="shared" si="6"/>
        <v>416380</v>
      </c>
      <c r="G215">
        <f t="shared" si="7"/>
        <v>212377.06148507999</v>
      </c>
    </row>
    <row r="216" spans="1:7" x14ac:dyDescent="0.5">
      <c r="A216" t="s">
        <v>399</v>
      </c>
      <c r="B216">
        <v>744</v>
      </c>
      <c r="C216" t="s">
        <v>400</v>
      </c>
      <c r="D216">
        <v>0</v>
      </c>
      <c r="E216">
        <v>0.45245901599999999</v>
      </c>
      <c r="F216">
        <f t="shared" si="6"/>
        <v>0</v>
      </c>
      <c r="G216">
        <f t="shared" si="7"/>
        <v>0</v>
      </c>
    </row>
    <row r="217" spans="1:7" x14ac:dyDescent="0.5">
      <c r="A217" t="s">
        <v>427</v>
      </c>
      <c r="B217">
        <v>748</v>
      </c>
      <c r="C217" t="s">
        <v>428</v>
      </c>
      <c r="D217">
        <v>103.79</v>
      </c>
      <c r="E217">
        <v>0.40517241399999998</v>
      </c>
      <c r="F217">
        <f t="shared" si="6"/>
        <v>103790</v>
      </c>
      <c r="G217">
        <f t="shared" si="7"/>
        <v>42052.844849059999</v>
      </c>
    </row>
    <row r="218" spans="1:7" x14ac:dyDescent="0.5">
      <c r="A218" t="s">
        <v>425</v>
      </c>
      <c r="B218">
        <v>752</v>
      </c>
      <c r="C218" t="s">
        <v>426</v>
      </c>
      <c r="D218">
        <v>42471.05</v>
      </c>
      <c r="E218">
        <v>0.50319829400000005</v>
      </c>
      <c r="F218">
        <f t="shared" si="6"/>
        <v>42471050</v>
      </c>
      <c r="G218">
        <f t="shared" si="7"/>
        <v>21371359.904388703</v>
      </c>
    </row>
    <row r="219" spans="1:7" x14ac:dyDescent="0.5">
      <c r="A219" t="s">
        <v>87</v>
      </c>
      <c r="B219">
        <v>756</v>
      </c>
      <c r="C219" t="s">
        <v>88</v>
      </c>
      <c r="D219">
        <v>42380.2</v>
      </c>
      <c r="E219">
        <v>0.34367245699999999</v>
      </c>
      <c r="F219">
        <f t="shared" si="6"/>
        <v>42380200</v>
      </c>
      <c r="G219">
        <f t="shared" si="7"/>
        <v>14564907.462151399</v>
      </c>
    </row>
    <row r="220" spans="1:7" x14ac:dyDescent="0.5">
      <c r="A220" t="s">
        <v>433</v>
      </c>
      <c r="B220">
        <v>760</v>
      </c>
      <c r="C220" t="s">
        <v>434</v>
      </c>
      <c r="D220">
        <v>6976.4</v>
      </c>
      <c r="E220">
        <v>0.45126353800000002</v>
      </c>
      <c r="F220">
        <f t="shared" si="6"/>
        <v>6976400</v>
      </c>
      <c r="G220">
        <f t="shared" si="7"/>
        <v>3148194.9465032001</v>
      </c>
    </row>
    <row r="221" spans="1:7" x14ac:dyDescent="0.5">
      <c r="A221" t="s">
        <v>443</v>
      </c>
      <c r="B221">
        <v>762</v>
      </c>
      <c r="C221" t="s">
        <v>444</v>
      </c>
      <c r="D221">
        <v>1716.77</v>
      </c>
      <c r="E221">
        <v>0.32467532500000001</v>
      </c>
      <c r="F221">
        <f t="shared" si="6"/>
        <v>1716770</v>
      </c>
      <c r="G221">
        <f t="shared" si="7"/>
        <v>557392.85770025</v>
      </c>
    </row>
    <row r="222" spans="1:7" x14ac:dyDescent="0.5">
      <c r="A222" t="s">
        <v>441</v>
      </c>
      <c r="B222">
        <v>764</v>
      </c>
      <c r="C222" t="s">
        <v>442</v>
      </c>
      <c r="D222">
        <v>3191790.23</v>
      </c>
      <c r="E222">
        <v>0.46725571700000001</v>
      </c>
      <c r="F222">
        <f t="shared" si="6"/>
        <v>3191790230</v>
      </c>
      <c r="G222">
        <f t="shared" si="7"/>
        <v>1491382232.432245</v>
      </c>
    </row>
    <row r="223" spans="1:7" x14ac:dyDescent="0.5">
      <c r="A223" t="s">
        <v>439</v>
      </c>
      <c r="B223">
        <v>768</v>
      </c>
      <c r="C223" t="s">
        <v>440</v>
      </c>
      <c r="D223">
        <v>2979.97</v>
      </c>
      <c r="E223">
        <v>0.49099099099999999</v>
      </c>
      <c r="F223">
        <f t="shared" si="6"/>
        <v>2979970</v>
      </c>
      <c r="G223">
        <f t="shared" si="7"/>
        <v>1463138.42345027</v>
      </c>
    </row>
    <row r="224" spans="1:7" x14ac:dyDescent="0.5">
      <c r="A224" t="s">
        <v>445</v>
      </c>
      <c r="B224">
        <v>772</v>
      </c>
      <c r="C224" t="s">
        <v>446</v>
      </c>
      <c r="D224">
        <v>0</v>
      </c>
      <c r="E224">
        <v>0.58782608700000005</v>
      </c>
      <c r="F224">
        <f t="shared" si="6"/>
        <v>0</v>
      </c>
      <c r="G224">
        <f t="shared" si="7"/>
        <v>0</v>
      </c>
    </row>
    <row r="225" spans="1:7" x14ac:dyDescent="0.5">
      <c r="A225" t="s">
        <v>451</v>
      </c>
      <c r="B225">
        <v>776</v>
      </c>
      <c r="C225" t="s">
        <v>452</v>
      </c>
      <c r="D225">
        <v>0</v>
      </c>
      <c r="E225">
        <v>0.58782608700000005</v>
      </c>
      <c r="F225">
        <f t="shared" si="6"/>
        <v>0</v>
      </c>
      <c r="G225">
        <f t="shared" si="7"/>
        <v>0</v>
      </c>
    </row>
    <row r="226" spans="1:7" x14ac:dyDescent="0.5">
      <c r="A226" t="s">
        <v>453</v>
      </c>
      <c r="B226">
        <v>780</v>
      </c>
      <c r="C226" t="s">
        <v>454</v>
      </c>
      <c r="D226">
        <v>255.6</v>
      </c>
      <c r="E226">
        <v>0.25272331199999998</v>
      </c>
      <c r="F226">
        <f t="shared" si="6"/>
        <v>255600</v>
      </c>
      <c r="G226">
        <f t="shared" si="7"/>
        <v>64596.078547199992</v>
      </c>
    </row>
    <row r="227" spans="1:7" x14ac:dyDescent="0.5">
      <c r="A227" t="s">
        <v>19</v>
      </c>
      <c r="B227">
        <v>784</v>
      </c>
      <c r="C227" t="s">
        <v>20</v>
      </c>
      <c r="D227">
        <v>28562.9</v>
      </c>
      <c r="E227">
        <v>0.60054719599999995</v>
      </c>
      <c r="F227">
        <f t="shared" si="6"/>
        <v>28562900</v>
      </c>
      <c r="G227">
        <f t="shared" si="7"/>
        <v>17153369.504628398</v>
      </c>
    </row>
    <row r="228" spans="1:7" x14ac:dyDescent="0.5">
      <c r="A228" t="s">
        <v>455</v>
      </c>
      <c r="B228">
        <v>788</v>
      </c>
      <c r="C228" t="s">
        <v>456</v>
      </c>
      <c r="D228">
        <v>114454.77</v>
      </c>
      <c r="E228">
        <v>0.39945652199999998</v>
      </c>
      <c r="F228">
        <f t="shared" si="6"/>
        <v>114454770</v>
      </c>
      <c r="G228">
        <f t="shared" si="7"/>
        <v>45719704.350509934</v>
      </c>
    </row>
    <row r="229" spans="1:7" x14ac:dyDescent="0.5">
      <c r="A229" t="s">
        <v>457</v>
      </c>
      <c r="B229">
        <v>792</v>
      </c>
      <c r="C229" t="s">
        <v>458</v>
      </c>
      <c r="D229">
        <v>1356074.99</v>
      </c>
      <c r="E229">
        <v>0.38752627899999997</v>
      </c>
      <c r="F229">
        <f t="shared" si="6"/>
        <v>1356074990</v>
      </c>
      <c r="G229">
        <f t="shared" si="7"/>
        <v>525514694.91966218</v>
      </c>
    </row>
    <row r="230" spans="1:7" x14ac:dyDescent="0.5">
      <c r="A230" t="s">
        <v>447</v>
      </c>
      <c r="B230">
        <v>795</v>
      </c>
      <c r="C230" t="s">
        <v>448</v>
      </c>
      <c r="D230">
        <v>464</v>
      </c>
      <c r="E230">
        <v>0.485294118</v>
      </c>
      <c r="F230">
        <f t="shared" si="6"/>
        <v>464000</v>
      </c>
      <c r="G230">
        <f t="shared" si="7"/>
        <v>225176.47075199999</v>
      </c>
    </row>
    <row r="231" spans="1:7" x14ac:dyDescent="0.5">
      <c r="A231" t="s">
        <v>435</v>
      </c>
      <c r="B231">
        <v>796</v>
      </c>
      <c r="C231" t="s">
        <v>436</v>
      </c>
      <c r="D231">
        <v>0</v>
      </c>
      <c r="E231">
        <v>0.4</v>
      </c>
      <c r="F231">
        <f t="shared" si="6"/>
        <v>0</v>
      </c>
      <c r="G231">
        <f t="shared" si="7"/>
        <v>0</v>
      </c>
    </row>
    <row r="232" spans="1:7" x14ac:dyDescent="0.5">
      <c r="A232" t="s">
        <v>459</v>
      </c>
      <c r="B232">
        <v>798</v>
      </c>
      <c r="C232" t="s">
        <v>460</v>
      </c>
      <c r="D232">
        <v>5</v>
      </c>
      <c r="E232">
        <v>0.58782608700000005</v>
      </c>
      <c r="F232">
        <f t="shared" si="6"/>
        <v>5000</v>
      </c>
      <c r="G232">
        <f t="shared" si="7"/>
        <v>2939.1304350000005</v>
      </c>
    </row>
    <row r="233" spans="1:7" x14ac:dyDescent="0.5">
      <c r="A233" t="s">
        <v>465</v>
      </c>
      <c r="B233">
        <v>800</v>
      </c>
      <c r="C233" t="s">
        <v>466</v>
      </c>
      <c r="D233">
        <v>241462.52</v>
      </c>
      <c r="E233">
        <v>0.31388329999999998</v>
      </c>
      <c r="F233">
        <f t="shared" si="6"/>
        <v>241462520</v>
      </c>
      <c r="G233">
        <f t="shared" si="7"/>
        <v>75791052.603915989</v>
      </c>
    </row>
    <row r="234" spans="1:7" x14ac:dyDescent="0.5">
      <c r="A234" t="s">
        <v>467</v>
      </c>
      <c r="B234">
        <v>804</v>
      </c>
      <c r="C234" t="s">
        <v>468</v>
      </c>
      <c r="D234">
        <v>24789.52</v>
      </c>
      <c r="E234">
        <v>0.62030075200000001</v>
      </c>
      <c r="F234">
        <f t="shared" si="6"/>
        <v>24789520</v>
      </c>
      <c r="G234">
        <f t="shared" si="7"/>
        <v>15376957.897719041</v>
      </c>
    </row>
    <row r="235" spans="1:7" x14ac:dyDescent="0.5">
      <c r="A235" t="s">
        <v>293</v>
      </c>
      <c r="B235">
        <v>807</v>
      </c>
      <c r="C235" t="s">
        <v>294</v>
      </c>
      <c r="D235">
        <v>9535.9699999999993</v>
      </c>
      <c r="E235">
        <v>0.45245901599999999</v>
      </c>
      <c r="F235">
        <f t="shared" si="6"/>
        <v>9535970</v>
      </c>
      <c r="G235">
        <f t="shared" si="7"/>
        <v>4314635.6028055195</v>
      </c>
    </row>
    <row r="236" spans="1:7" x14ac:dyDescent="0.5">
      <c r="A236" t="s">
        <v>137</v>
      </c>
      <c r="B236">
        <v>818</v>
      </c>
      <c r="C236" t="s">
        <v>138</v>
      </c>
      <c r="D236">
        <v>2862372.75</v>
      </c>
      <c r="E236">
        <v>0.420258621</v>
      </c>
      <c r="F236">
        <f t="shared" si="6"/>
        <v>2862372750</v>
      </c>
      <c r="G236">
        <f t="shared" si="7"/>
        <v>1202936824.7029777</v>
      </c>
    </row>
    <row r="237" spans="1:7" x14ac:dyDescent="0.5">
      <c r="A237" t="s">
        <v>163</v>
      </c>
      <c r="B237">
        <v>826</v>
      </c>
      <c r="C237" t="s">
        <v>164</v>
      </c>
      <c r="D237">
        <v>1473720.6</v>
      </c>
      <c r="E237">
        <v>0.451784358</v>
      </c>
      <c r="F237">
        <f t="shared" si="6"/>
        <v>1473720600</v>
      </c>
      <c r="G237">
        <f t="shared" si="7"/>
        <v>665803915.14237475</v>
      </c>
    </row>
    <row r="238" spans="1:7" x14ac:dyDescent="0.5">
      <c r="A238" t="s">
        <v>167</v>
      </c>
      <c r="B238">
        <v>831</v>
      </c>
      <c r="C238" t="s">
        <v>168</v>
      </c>
    </row>
    <row r="239" spans="1:7" x14ac:dyDescent="0.5">
      <c r="A239" t="s">
        <v>231</v>
      </c>
      <c r="B239">
        <v>832</v>
      </c>
      <c r="C239" t="s">
        <v>232</v>
      </c>
    </row>
    <row r="240" spans="1:7" x14ac:dyDescent="0.5">
      <c r="A240" t="s">
        <v>211</v>
      </c>
      <c r="B240">
        <v>833</v>
      </c>
      <c r="C240" t="s">
        <v>212</v>
      </c>
      <c r="D240">
        <v>0</v>
      </c>
      <c r="E240">
        <v>0.45245901599999999</v>
      </c>
    </row>
    <row r="241" spans="1:7" x14ac:dyDescent="0.5">
      <c r="A241" t="s">
        <v>463</v>
      </c>
      <c r="B241">
        <v>834</v>
      </c>
      <c r="C241" t="s">
        <v>464</v>
      </c>
      <c r="D241">
        <v>62335.94</v>
      </c>
      <c r="E241">
        <v>0.38114754099999998</v>
      </c>
      <c r="F241">
        <f t="shared" si="6"/>
        <v>62335940</v>
      </c>
      <c r="G241">
        <f t="shared" si="7"/>
        <v>23759190.24692354</v>
      </c>
    </row>
    <row r="242" spans="1:7" x14ac:dyDescent="0.5">
      <c r="A242" t="s">
        <v>473</v>
      </c>
      <c r="B242">
        <v>840</v>
      </c>
      <c r="C242" t="s">
        <v>474</v>
      </c>
      <c r="D242">
        <v>1286998.8500000001</v>
      </c>
      <c r="E242">
        <v>0.40021959899999998</v>
      </c>
      <c r="F242">
        <f t="shared" si="6"/>
        <v>1286998850</v>
      </c>
      <c r="G242">
        <f t="shared" si="7"/>
        <v>515082163.66046113</v>
      </c>
    </row>
    <row r="243" spans="1:7" x14ac:dyDescent="0.5">
      <c r="A243" t="s">
        <v>485</v>
      </c>
      <c r="B243">
        <v>850</v>
      </c>
      <c r="C243" t="s">
        <v>486</v>
      </c>
      <c r="D243">
        <v>56</v>
      </c>
      <c r="E243">
        <v>0.4</v>
      </c>
      <c r="F243">
        <f t="shared" si="6"/>
        <v>56000</v>
      </c>
      <c r="G243">
        <f t="shared" si="7"/>
        <v>22400</v>
      </c>
    </row>
    <row r="244" spans="1:7" x14ac:dyDescent="0.5">
      <c r="A244" t="s">
        <v>47</v>
      </c>
      <c r="B244">
        <v>854</v>
      </c>
      <c r="C244" t="s">
        <v>48</v>
      </c>
      <c r="D244">
        <v>1528.39</v>
      </c>
      <c r="E244">
        <v>0.33223443200000002</v>
      </c>
      <c r="F244">
        <f t="shared" si="6"/>
        <v>1528390</v>
      </c>
      <c r="G244">
        <f t="shared" si="7"/>
        <v>507783.78352448001</v>
      </c>
    </row>
    <row r="245" spans="1:7" x14ac:dyDescent="0.5">
      <c r="A245" t="s">
        <v>471</v>
      </c>
      <c r="B245">
        <v>858</v>
      </c>
      <c r="C245" t="s">
        <v>472</v>
      </c>
      <c r="D245">
        <v>5053.03</v>
      </c>
      <c r="E245">
        <v>0.403249631</v>
      </c>
      <c r="F245">
        <f t="shared" si="6"/>
        <v>5053030</v>
      </c>
      <c r="G245">
        <f t="shared" si="7"/>
        <v>2037632.4829319299</v>
      </c>
    </row>
    <row r="246" spans="1:7" x14ac:dyDescent="0.5">
      <c r="A246" t="s">
        <v>475</v>
      </c>
      <c r="B246">
        <v>860</v>
      </c>
      <c r="C246" t="s">
        <v>476</v>
      </c>
      <c r="D246">
        <v>188119.5</v>
      </c>
      <c r="E246">
        <v>0.485294118</v>
      </c>
      <c r="F246">
        <f t="shared" si="6"/>
        <v>188119500</v>
      </c>
      <c r="G246">
        <f t="shared" si="7"/>
        <v>91293286.831101</v>
      </c>
    </row>
    <row r="247" spans="1:7" x14ac:dyDescent="0.5">
      <c r="A247" t="s">
        <v>481</v>
      </c>
      <c r="B247">
        <v>862</v>
      </c>
      <c r="C247" t="s">
        <v>482</v>
      </c>
      <c r="D247">
        <v>123470</v>
      </c>
      <c r="E247">
        <v>0.30035756899999999</v>
      </c>
      <c r="F247">
        <f t="shared" si="6"/>
        <v>123470000</v>
      </c>
      <c r="G247">
        <f t="shared" si="7"/>
        <v>37085149.044430003</v>
      </c>
    </row>
    <row r="248" spans="1:7" x14ac:dyDescent="0.5">
      <c r="A248" t="s">
        <v>491</v>
      </c>
      <c r="B248">
        <v>876</v>
      </c>
      <c r="C248" t="s">
        <v>492</v>
      </c>
      <c r="D248">
        <v>0</v>
      </c>
      <c r="E248">
        <v>0.58782608700000005</v>
      </c>
      <c r="F248">
        <f t="shared" si="6"/>
        <v>0</v>
      </c>
      <c r="G248">
        <f t="shared" si="7"/>
        <v>0</v>
      </c>
    </row>
    <row r="249" spans="1:7" x14ac:dyDescent="0.5">
      <c r="A249" t="s">
        <v>493</v>
      </c>
      <c r="B249">
        <v>882</v>
      </c>
      <c r="C249" t="s">
        <v>494</v>
      </c>
      <c r="D249">
        <v>31.33</v>
      </c>
      <c r="E249">
        <v>0.58782608700000005</v>
      </c>
      <c r="F249">
        <f t="shared" si="6"/>
        <v>31330</v>
      </c>
      <c r="G249">
        <f t="shared" si="7"/>
        <v>18416.591305710001</v>
      </c>
    </row>
    <row r="250" spans="1:7" x14ac:dyDescent="0.5">
      <c r="A250" t="s">
        <v>496</v>
      </c>
      <c r="B250">
        <v>887</v>
      </c>
      <c r="C250" t="s">
        <v>497</v>
      </c>
      <c r="D250">
        <v>30</v>
      </c>
      <c r="E250">
        <v>0.45126353800000002</v>
      </c>
      <c r="F250">
        <f t="shared" si="6"/>
        <v>30000</v>
      </c>
      <c r="G250">
        <f t="shared" si="7"/>
        <v>13537.906140000001</v>
      </c>
    </row>
    <row r="251" spans="1:7" x14ac:dyDescent="0.5">
      <c r="A251" t="s">
        <v>500</v>
      </c>
      <c r="B251">
        <v>894</v>
      </c>
      <c r="C251" t="s">
        <v>501</v>
      </c>
      <c r="D251">
        <v>104449.18</v>
      </c>
      <c r="E251">
        <v>0.54347826099999996</v>
      </c>
      <c r="F251">
        <f t="shared" si="6"/>
        <v>104449180</v>
      </c>
      <c r="G251">
        <f t="shared" si="7"/>
        <v>56765858.709275976</v>
      </c>
    </row>
  </sheetData>
  <sortState xmlns:xlrd2="http://schemas.microsoft.com/office/spreadsheetml/2017/richdata2" ref="A2:G251">
    <sortCondition ref="B1:B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Lifeng Ren</dc:creator>
  <cp:lastModifiedBy>Lifeng Ren</cp:lastModifiedBy>
  <dcterms:created xsi:type="dcterms:W3CDTF">2026-10-08T01:34:59Z</dcterms:created>
  <dcterms:modified xsi:type="dcterms:W3CDTF">2026-10-08T01:45:16Z</dcterms:modified>
</cp:coreProperties>
</file>